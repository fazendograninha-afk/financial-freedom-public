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📊 Dashboard" sheetId="1" r:id="rId4"/>
    <sheet state="visible" name="Janeiro" sheetId="2" r:id="rId5"/>
    <sheet state="visible" name="Fevereiro" sheetId="3" r:id="rId6"/>
    <sheet state="visible" name="Março" sheetId="4" r:id="rId7"/>
    <sheet state="visible" name="Abril" sheetId="5" r:id="rId8"/>
    <sheet state="visible" name="Maio" sheetId="6" r:id="rId9"/>
    <sheet state="visible" name="Junho" sheetId="7" r:id="rId10"/>
    <sheet state="visible" name="Julho" sheetId="8" r:id="rId11"/>
    <sheet state="visible" name="Agosto" sheetId="9" r:id="rId12"/>
    <sheet state="visible" name="Setembro" sheetId="10" r:id="rId13"/>
    <sheet state="visible" name="Outubro" sheetId="11" r:id="rId14"/>
    <sheet state="visible" name="Novembro" sheetId="12" r:id="rId15"/>
    <sheet state="visible" name="Dezembro" sheetId="13" r:id="rId16"/>
    <sheet state="visible" name="🎯 Metas" sheetId="14" r:id="rId17"/>
    <sheet state="visible" name="📈 Análise Anual" sheetId="15" r:id="rId18"/>
    <sheet state="visible" name="📚 Guia" sheetId="16" r:id="rId19"/>
  </sheets>
  <definedNames/>
  <calcPr/>
  <extLst>
    <ext uri="GoogleSheetsCustomDataVersion2">
      <go:sheetsCustomData xmlns:go="http://customooxmlschemas.google.com/" r:id="rId20" roundtripDataChecksum="EFWr2+pQYxhPX3QS1Db2IktTC/WZqekwC8FxMmftUvA="/>
    </ext>
  </extLst>
</workbook>
</file>

<file path=xl/sharedStrings.xml><?xml version="1.0" encoding="utf-8"?>
<sst xmlns="http://schemas.openxmlformats.org/spreadsheetml/2006/main" count="1062" uniqueCount="285">
  <si>
    <t>👑 CONTROLEIRO FINANCEIRO — MANIFESTAÇÃO MILIONÁRIA</t>
  </si>
  <si>
    <t>✦ GESTÃO FINANCEIRA PESSOAL DE ALTO NÍVEL ✦  |  Atualizado: 08/03/2026</t>
  </si>
  <si>
    <t>📅 MÊS DE REFERÊNCIA</t>
  </si>
  <si>
    <t>Selecione o mês:</t>
  </si>
  <si>
    <t>Janeiro</t>
  </si>
  <si>
    <t>← Altere aqui</t>
  </si>
  <si>
    <t>💵 RECEITA TOTAL</t>
  </si>
  <si>
    <t>💸 DESPESA TOTAL</t>
  </si>
  <si>
    <t>💎 SALDO LÍQUIDO</t>
  </si>
  <si>
    <t>Entrada do mês</t>
  </si>
  <si>
    <t>Saída do mês</t>
  </si>
  <si>
    <t>Receita - Despesa</t>
  </si>
  <si>
    <t>📈 INVESTIDO</t>
  </si>
  <si>
    <t>⚠️ DÍVIDAS</t>
  </si>
  <si>
    <t>🏆 META POUPANÇA</t>
  </si>
  <si>
    <t>Total investido</t>
  </si>
  <si>
    <t>Pendências</t>
  </si>
  <si>
    <t>Meta mensal (edite)</t>
  </si>
  <si>
    <t>📊 RESUMO POR CATEGORIA</t>
  </si>
  <si>
    <t>📊 RESUMO POR CATEGORIA — Janeiro</t>
  </si>
  <si>
    <t>Categoria</t>
  </si>
  <si>
    <t>Tipo</t>
  </si>
  <si>
    <t>Planejado (R$)</t>
  </si>
  <si>
    <t>Realizado (R$)</t>
  </si>
  <si>
    <t>Diferença (R$)</t>
  </si>
  <si>
    <t>% do Total</t>
  </si>
  <si>
    <t>Status</t>
  </si>
  <si>
    <t>🏠 Moradia</t>
  </si>
  <si>
    <t>Fixo</t>
  </si>
  <si>
    <t>💡 Utilidades</t>
  </si>
  <si>
    <t>🚗 Transporte</t>
  </si>
  <si>
    <t>🍽️ Alimentação</t>
  </si>
  <si>
    <t>Variável</t>
  </si>
  <si>
    <t>💊 Saúde</t>
  </si>
  <si>
    <t>📚 Educação</t>
  </si>
  <si>
    <t>👗 Vestuário</t>
  </si>
  <si>
    <t>Supérfluo</t>
  </si>
  <si>
    <t>🎮 Lazer</t>
  </si>
  <si>
    <t>💳 Dívidas</t>
  </si>
  <si>
    <t>💰 Investimentos</t>
  </si>
  <si>
    <t>Meta</t>
  </si>
  <si>
    <t>🎁 Outros Fixos</t>
  </si>
  <si>
    <t>✨ Outros Variáveis</t>
  </si>
  <si>
    <t>TOTAL</t>
  </si>
  <si>
    <t>💡 REGRA 50-30-20 — Distribuição Ideal do Salário</t>
  </si>
  <si>
    <t>50% — Necessidades</t>
  </si>
  <si>
    <t>Moradia, alimentação, transporte, saúde</t>
  </si>
  <si>
    <t>30% — Desejos</t>
  </si>
  <si>
    <t>Lazer, vestuário, restaurantes, hobbies</t>
  </si>
  <si>
    <t>20% — Investimentos</t>
  </si>
  <si>
    <t>Poupança, ações, previdência privada</t>
  </si>
  <si>
    <t>📋 REGISTRO DE TRANSAÇÕES — JANEIRO</t>
  </si>
  <si>
    <t>TOTAL RECEITAS</t>
  </si>
  <si>
    <t>TOTAL DESPESAS</t>
  </si>
  <si>
    <t>SALDO DO MÊS</t>
  </si>
  <si>
    <t>Data</t>
  </si>
  <si>
    <t>Descrição</t>
  </si>
  <si>
    <t>Valor (R$)</t>
  </si>
  <si>
    <t>Pagamento</t>
  </si>
  <si>
    <t>Observações</t>
  </si>
  <si>
    <t>01/01/2025</t>
  </si>
  <si>
    <t>Salário CLT</t>
  </si>
  <si>
    <t>Receita</t>
  </si>
  <si>
    <t>💵 Renda</t>
  </si>
  <si>
    <t>✅ Recebido</t>
  </si>
  <si>
    <t>PIX</t>
  </si>
  <si>
    <t>Salário mensal</t>
  </si>
  <si>
    <t>Vale Alimentação</t>
  </si>
  <si>
    <t>Cartão VA</t>
  </si>
  <si>
    <t>Benefício</t>
  </si>
  <si>
    <t>05/01/2025</t>
  </si>
  <si>
    <t>Aluguel</t>
  </si>
  <si>
    <t>Despesa</t>
  </si>
  <si>
    <t>✅ Pago</t>
  </si>
  <si>
    <t>Transferência</t>
  </si>
  <si>
    <t>Vencimento dia 5</t>
  </si>
  <si>
    <t>07/01/2025</t>
  </si>
  <si>
    <t>Supermercado</t>
  </si>
  <si>
    <t>Débito</t>
  </si>
  <si>
    <t>Compra semanal</t>
  </si>
  <si>
    <t>10/01/2025</t>
  </si>
  <si>
    <t>Internet + Celular</t>
  </si>
  <si>
    <t>Débito auto</t>
  </si>
  <si>
    <t>15/01/2025</t>
  </si>
  <si>
    <t>Transporte (Uber/VT)</t>
  </si>
  <si>
    <t>App</t>
  </si>
  <si>
    <t>20/01/2025</t>
  </si>
  <si>
    <t>Investimento — FGTS+</t>
  </si>
  <si>
    <t>TED</t>
  </si>
  <si>
    <t>Meta mensal</t>
  </si>
  <si>
    <t>25/01/2025</t>
  </si>
  <si>
    <t>Academia</t>
  </si>
  <si>
    <t>⏳ Pendente</t>
  </si>
  <si>
    <t>Boleto</t>
  </si>
  <si>
    <t>28/01/2025</t>
  </si>
  <si>
    <t>Streaming (Netflix etc)</t>
  </si>
  <si>
    <t>Cartão</t>
  </si>
  <si>
    <t>TOTAL DO MÊS</t>
  </si>
  <si>
    <t>📝 INSTRUÇÕES: Preencha uma linha por transação. Tipo: Receita ou Despesa. Status: ✅ Pago / ⏳ Pendente / ❌ Cancelado</t>
  </si>
  <si>
    <t>📋 REGISTRO DE TRANSAÇÕES — FEVEREIRO</t>
  </si>
  <si>
    <t>01/02/2025</t>
  </si>
  <si>
    <t>05/02/2025</t>
  </si>
  <si>
    <t>07/02/2025</t>
  </si>
  <si>
    <t>10/02/2025</t>
  </si>
  <si>
    <t>15/02/2025</t>
  </si>
  <si>
    <t>20/02/2025</t>
  </si>
  <si>
    <t>25/02/2025</t>
  </si>
  <si>
    <t>28/02/2025</t>
  </si>
  <si>
    <t>📋 REGISTRO DE TRANSAÇÕES — MARÇO</t>
  </si>
  <si>
    <t>01/03/2025</t>
  </si>
  <si>
    <t>05/03/2025</t>
  </si>
  <si>
    <t>07/03/2025</t>
  </si>
  <si>
    <t>10/03/2025</t>
  </si>
  <si>
    <t>15/03/2025</t>
  </si>
  <si>
    <t>20/03/2025</t>
  </si>
  <si>
    <t>25/03/2025</t>
  </si>
  <si>
    <t>28/03/2025</t>
  </si>
  <si>
    <t>📋 REGISTRO DE TRANSAÇÕES — ABRIL</t>
  </si>
  <si>
    <t>01/04/2025</t>
  </si>
  <si>
    <t>05/04/2025</t>
  </si>
  <si>
    <t>07/04/2025</t>
  </si>
  <si>
    <t>10/04/2025</t>
  </si>
  <si>
    <t>15/04/2025</t>
  </si>
  <si>
    <t>20/04/2025</t>
  </si>
  <si>
    <t>25/04/2025</t>
  </si>
  <si>
    <t>28/04/2025</t>
  </si>
  <si>
    <t>📋 REGISTRO DE TRANSAÇÕES — MAIO</t>
  </si>
  <si>
    <t>01/05/2025</t>
  </si>
  <si>
    <t>05/05/2025</t>
  </si>
  <si>
    <t>07/05/2025</t>
  </si>
  <si>
    <t>10/05/2025</t>
  </si>
  <si>
    <t>15/05/2025</t>
  </si>
  <si>
    <t>20/05/2025</t>
  </si>
  <si>
    <t>25/05/2025</t>
  </si>
  <si>
    <t>28/05/2025</t>
  </si>
  <si>
    <t>📋 REGISTRO DE TRANSAÇÕES — JUNHO</t>
  </si>
  <si>
    <t>01/06/2025</t>
  </si>
  <si>
    <t>05/06/2025</t>
  </si>
  <si>
    <t>07/06/2025</t>
  </si>
  <si>
    <t>10/06/2025</t>
  </si>
  <si>
    <t>15/06/2025</t>
  </si>
  <si>
    <t>20/06/2025</t>
  </si>
  <si>
    <t>25/06/2025</t>
  </si>
  <si>
    <t>28/06/2025</t>
  </si>
  <si>
    <t>📋 REGISTRO DE TRANSAÇÕES — JULHO</t>
  </si>
  <si>
    <t>01/07/2025</t>
  </si>
  <si>
    <t>05/07/2025</t>
  </si>
  <si>
    <t>07/07/2025</t>
  </si>
  <si>
    <t>10/07/2025</t>
  </si>
  <si>
    <t>15/07/2025</t>
  </si>
  <si>
    <t>20/07/2025</t>
  </si>
  <si>
    <t>25/07/2025</t>
  </si>
  <si>
    <t>28/07/2025</t>
  </si>
  <si>
    <t>📋 REGISTRO DE TRANSAÇÕES — AGOSTO</t>
  </si>
  <si>
    <t>01/08/2025</t>
  </si>
  <si>
    <t>05/08/2025</t>
  </si>
  <si>
    <t>07/08/2025</t>
  </si>
  <si>
    <t>10/08/2025</t>
  </si>
  <si>
    <t>15/08/2025</t>
  </si>
  <si>
    <t>20/08/2025</t>
  </si>
  <si>
    <t>25/08/2025</t>
  </si>
  <si>
    <t>28/08/2025</t>
  </si>
  <si>
    <t>📋 REGISTRO DE TRANSAÇÕES — SETEMBRO</t>
  </si>
  <si>
    <t>01/09/2025</t>
  </si>
  <si>
    <t>05/09/2025</t>
  </si>
  <si>
    <t>07/09/2025</t>
  </si>
  <si>
    <t>10/09/2025</t>
  </si>
  <si>
    <t>15/09/2025</t>
  </si>
  <si>
    <t>20/09/2025</t>
  </si>
  <si>
    <t>25/09/2025</t>
  </si>
  <si>
    <t>28/09/2025</t>
  </si>
  <si>
    <t>📋 REGISTRO DE TRANSAÇÕES — OUTUBRO</t>
  </si>
  <si>
    <t>01/10/2025</t>
  </si>
  <si>
    <t>05/10/2025</t>
  </si>
  <si>
    <t>07/10/2025</t>
  </si>
  <si>
    <t>10/10/2025</t>
  </si>
  <si>
    <t>15/10/2025</t>
  </si>
  <si>
    <t>20/10/2025</t>
  </si>
  <si>
    <t>25/10/2025</t>
  </si>
  <si>
    <t>28/10/2025</t>
  </si>
  <si>
    <t>📋 REGISTRO DE TRANSAÇÕES — NOVEMBRO</t>
  </si>
  <si>
    <t>01/11/2025</t>
  </si>
  <si>
    <t>05/11/2025</t>
  </si>
  <si>
    <t>07/11/2025</t>
  </si>
  <si>
    <t>10/11/2025</t>
  </si>
  <si>
    <t>15/11/2025</t>
  </si>
  <si>
    <t>20/11/2025</t>
  </si>
  <si>
    <t>25/11/2025</t>
  </si>
  <si>
    <t>28/11/2025</t>
  </si>
  <si>
    <t>📋 REGISTRO DE TRANSAÇÕES — DEZEMBRO</t>
  </si>
  <si>
    <t>01/12/2025</t>
  </si>
  <si>
    <t>05/12/2025</t>
  </si>
  <si>
    <t>07/12/2025</t>
  </si>
  <si>
    <t>10/12/2025</t>
  </si>
  <si>
    <t>15/12/2025</t>
  </si>
  <si>
    <t>20/12/2025</t>
  </si>
  <si>
    <t>25/12/2025</t>
  </si>
  <si>
    <t>28/12/2025</t>
  </si>
  <si>
    <t>🎯 PLANEJAMENTO DE METAS FINANCEIRAS 2025</t>
  </si>
  <si>
    <t>📌 METAS DE POUPANÇA E INVESTIMENTO</t>
  </si>
  <si>
    <t>Meta / Objetivo</t>
  </si>
  <si>
    <t>Valor Total</t>
  </si>
  <si>
    <t>Já Guardado</t>
  </si>
  <si>
    <t>Falta</t>
  </si>
  <si>
    <t>Prazo</t>
  </si>
  <si>
    <t>Por Mês</t>
  </si>
  <si>
    <t>Progresso</t>
  </si>
  <si>
    <t>🚨 Reserva de Emergência (6x salário)</t>
  </si>
  <si>
    <t>Dez/2025</t>
  </si>
  <si>
    <t>🏠 Entrada Apartamento</t>
  </si>
  <si>
    <t>Dez/2027</t>
  </si>
  <si>
    <t>🚗 Carro Novo / Reforma do Carro</t>
  </si>
  <si>
    <t>Jun/2026</t>
  </si>
  <si>
    <t>📚 Curso / Especialização</t>
  </si>
  <si>
    <t>Jun/2025</t>
  </si>
  <si>
    <t>✈️ Viagem dos Sonhos</t>
  </si>
  <si>
    <t>💰 Previdência Privada</t>
  </si>
  <si>
    <t>Dez/2035</t>
  </si>
  <si>
    <t>📱 Eletrônicos / Equipamentos</t>
  </si>
  <si>
    <t>Mar/2025</t>
  </si>
  <si>
    <t>🎓 Faculdade / Pós-Graduação</t>
  </si>
  <si>
    <t>Dez/2026</t>
  </si>
  <si>
    <t>💳 CONTROLE DE DÍVIDAS</t>
  </si>
  <si>
    <t>Dívida / Credor</t>
  </si>
  <si>
    <t>Valor Original</t>
  </si>
  <si>
    <t>Saldo Devedor</t>
  </si>
  <si>
    <t>Parcela Mensal</t>
  </si>
  <si>
    <t>Parcelas Restantes</t>
  </si>
  <si>
    <t>Previsão Quitação</t>
  </si>
  <si>
    <t>Juros (% a.m.)</t>
  </si>
  <si>
    <t>💳 Cartão de Crédito</t>
  </si>
  <si>
    <t>🏦 Empréstimo Pessoal</t>
  </si>
  <si>
    <t>Mar/2026</t>
  </si>
  <si>
    <t>📱 Celular Parcelado</t>
  </si>
  <si>
    <t>Sep/2025</t>
  </si>
  <si>
    <t>TOTAL DÍVIDAS</t>
  </si>
  <si>
    <t>📈 ANÁLISE ANUAL 2025 — Evolução Mensal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</si>
  <si>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</si>
  <si>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</si>
  <si>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</si>
  <si>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</si>
  <si>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</si>
  <si>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</si>
  <si>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</si>
  <si>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</si>
  <si>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</si>
  <si>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</si>
  <si>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</si>
  <si>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💵 RECEITAS</t>
  </si>
  <si>
    <t>💸 DESPESAS</t>
  </si>
  <si>
    <t>💎 SALDO</t>
  </si>
  <si>
    <t>💰 INVESTIDO</t>
  </si>
  <si>
    <t>💳 DÍVIDAS</t>
  </si>
  <si>
    <t>ℹ️  Dica: Atualize os valores azuis manualmente ou conecte com fórmulas das abas mensais para automatizar a análise anual.</t>
  </si>
  <si>
    <t>📚 GUIA DE CATEGORIAS &amp; INSTRUÇÕES DE USO</t>
  </si>
  <si>
    <t>Exemplos</t>
  </si>
  <si>
    <t>Limite Sugerido</t>
  </si>
  <si>
    <t>Aluguel, condomínio, IPTU</t>
  </si>
  <si>
    <t>35% do salário</t>
  </si>
  <si>
    <t>Luz, água, gás, internet, telefone</t>
  </si>
  <si>
    <t>10% do salário</t>
  </si>
  <si>
    <t>Combustível, transporte público, Uber</t>
  </si>
  <si>
    <t>Mercado, restaurantes, delivery</t>
  </si>
  <si>
    <t>15% do salário</t>
  </si>
  <si>
    <t>Plano de saúde, farmácia, consultas</t>
  </si>
  <si>
    <t>Cursos, livros, assinaturas</t>
  </si>
  <si>
    <t>5% do salário</t>
  </si>
  <si>
    <t>Roupas, calçados, acessórios</t>
  </si>
  <si>
    <t>Cinema, streaming, hobbies</t>
  </si>
  <si>
    <t>Cartão, financiamentos, empréstimos</t>
  </si>
  <si>
    <t>Eliminar/Reduzir</t>
  </si>
  <si>
    <t>Poupança, ações, fundos, previdência</t>
  </si>
  <si>
    <t>Seguros, assinaturas fixas</t>
  </si>
  <si>
    <t>Gastos eventuais</t>
  </si>
  <si>
    <t>🚀 COMO USAR ESTA PLANILHA</t>
  </si>
  <si>
    <t>1️⃣  Abra a aba do mês atual (ex: Janeiro) e preencha cada transação diariamente</t>
  </si>
  <si>
    <t>2️⃣  Tipo: use 'Receita' para entradas e 'Despesa' para saídas</t>
  </si>
  <si>
    <t>3️⃣  Categoria: escolha a categoria mais próxima da lista acima</t>
  </si>
  <si>
    <t>4️⃣  Status: marque ✅ Pago, ⏳ Pendente ou ❌ Cancelado</t>
  </si>
  <si>
    <t>5️⃣  O Dashboard atualiza automaticamente o resumo do mês de Janeiro</t>
  </si>
  <si>
    <t>6️⃣  Na aba Metas, atualize o valor 'Já Guardado' mensalmente</t>
  </si>
  <si>
    <t>7️⃣  Na aba Análise Anual, copie os totais mensais para ver a evolução</t>
  </si>
  <si>
    <t>8️⃣  Valores em AZUL são editáveis | Valores em PRETO são calculados automaticamente</t>
  </si>
  <si>
    <t>9️⃣  Aplique a Regra 50-30-20: 50% Necessidades | 30% Desejos | 20% Investimentos</t>
  </si>
  <si>
    <t>🔟  Revise semanalmente e compare Planejado vs Realizado para ajustar seus hábitos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</si>
</sst>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R$ #,##0.00"/>
    <numFmt numFmtId="165" formatCode="&quot;R$ &quot;#,##0.00;&quot;(R$ &quot;#,##0.00\);\-"/>
    <numFmt numFmtId="166" formatCode="0.0%"/>
  </numFmts>
  <fonts count="47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rgb="FFCFAA2D"/>
      <name val="Quattrocento Sans"/>
    </font>
    <font/>
    <font>
      <i/>
      <sz val="9.0"/>
      <color rgb="FFB8BAC8"/>
      <name val="Quattrocento Sans"/>
    </font>
    <font>
      <b/>
      <sz val="11.0"/>
      <color rgb="FFEAD87A"/>
      <name val="Quattrocento Sans"/>
    </font>
    <font>
      <sz val="10.0"/>
      <color rgb="FFB8BAC8"/>
      <name val="Quattrocento Sans"/>
    </font>
    <font>
      <b/>
      <sz val="11.0"/>
      <color rgb="FF64FFDA"/>
      <name val="Quattrocento Sans"/>
    </font>
    <font>
      <i/>
      <sz val="9.0"/>
      <color rgb="FFD97706"/>
      <name val="Arial"/>
    </font>
    <font>
      <b/>
      <sz val="10.0"/>
      <color rgb="FF00FF88"/>
      <name val="Quattrocento Sans"/>
    </font>
    <font>
      <b/>
      <sz val="10.0"/>
      <color rgb="FFFF4D6D"/>
      <name val="Quattrocento Sans"/>
    </font>
    <font>
      <b/>
      <sz val="10.0"/>
      <color rgb="FFCFAA2D"/>
      <name val="Quattrocento Sans"/>
    </font>
    <font>
      <b/>
      <sz val="18.0"/>
      <color rgb="FF00FF88"/>
      <name val="Quattrocento Sans"/>
    </font>
    <font>
      <b/>
      <sz val="18.0"/>
      <color rgb="FFFF4D6D"/>
      <name val="Quattrocento Sans"/>
    </font>
    <font>
      <sz val="8.0"/>
      <color rgb="FFB8BAC8"/>
      <name val="Quattrocento Sans"/>
    </font>
    <font>
      <b/>
      <sz val="10.0"/>
      <color rgb="FF64FFDA"/>
      <name val="Quattrocento Sans"/>
    </font>
    <font>
      <b/>
      <sz val="10.0"/>
      <color rgb="FFEAD87A"/>
      <name val="Quattrocento Sans"/>
    </font>
    <font>
      <b/>
      <sz val="16.0"/>
      <color rgb="FF64FFDA"/>
      <name val="Quattrocento Sans"/>
    </font>
    <font>
      <b/>
      <sz val="16.0"/>
      <color rgb="FFFF4D6D"/>
      <name val="Quattrocento Sans"/>
    </font>
    <font>
      <b/>
      <sz val="16.0"/>
      <color rgb="FFEAD87A"/>
      <name val="Quattrocento Sans"/>
    </font>
    <font>
      <i/>
      <sz val="8.0"/>
      <color rgb="FF6B7280"/>
      <name val="Arial"/>
    </font>
    <font>
      <b/>
      <sz val="12.0"/>
      <color rgb="FFCFAA2D"/>
      <name val="Quattrocento Sans"/>
    </font>
    <font>
      <b/>
      <sz val="9.0"/>
      <color rgb="FF0A0008"/>
      <name val="Quattrocento Sans"/>
    </font>
    <font>
      <sz val="9.0"/>
      <color rgb="FFFAFAFA"/>
      <name val="Quattrocento Sans"/>
    </font>
    <font>
      <b/>
      <sz val="9.0"/>
      <color rgb="FF00FF88"/>
      <name val="Quattrocento Sans"/>
    </font>
    <font>
      <b/>
      <sz val="13.0"/>
      <color rgb="FFCFAA2D"/>
      <name val="Quattrocento Sans"/>
    </font>
    <font>
      <b/>
      <sz val="14.0"/>
      <color rgb="FF00FF88"/>
      <name val="Quattrocento Sans"/>
    </font>
    <font>
      <b/>
      <sz val="14.0"/>
      <color rgb="FFFF4D6D"/>
      <name val="Quattrocento Sans"/>
    </font>
    <font>
      <b/>
      <sz val="14.0"/>
      <color rgb="FFCFAA2D"/>
      <name val="Quattrocento Sans"/>
    </font>
    <font>
      <b/>
      <sz val="9.0"/>
      <color rgb="FFFF4D6D"/>
      <name val="Quattrocento Sans"/>
    </font>
    <font>
      <b/>
      <sz val="9.0"/>
      <color rgb="FFCFAA2D"/>
      <name val="Quattrocento Sans"/>
    </font>
    <font>
      <b/>
      <sz val="10.0"/>
      <color rgb="FFD97706"/>
      <name val="Arial"/>
    </font>
    <font>
      <b/>
      <sz val="11.0"/>
      <color rgb="FFD97706"/>
      <name val="Arial"/>
    </font>
    <font>
      <b/>
      <sz val="15.0"/>
      <color rgb="FFCFAA2D"/>
      <name val="Quattrocento Sans"/>
    </font>
    <font>
      <sz val="9.0"/>
      <color rgb="FFEAD87A"/>
      <name val="Quattrocento Sans"/>
    </font>
    <font>
      <sz val="9.0"/>
      <color rgb="FF111827"/>
      <name val="Arial"/>
    </font>
    <font>
      <b/>
      <sz val="9.0"/>
      <color rgb="FF0000FF"/>
      <name val="Arial"/>
    </font>
    <font>
      <sz val="9.0"/>
      <color rgb="FF000000"/>
      <name val="Arial"/>
    </font>
    <font>
      <sz val="9.0"/>
      <color rgb="FF16A34A"/>
      <name val="Arial"/>
    </font>
    <font>
      <sz val="9.0"/>
      <color rgb="FF0000FF"/>
      <name val="Arial"/>
    </font>
    <font>
      <sz val="9.0"/>
      <color rgb="FFDC2626"/>
      <name val="Arial"/>
    </font>
    <font>
      <b/>
      <sz val="10.0"/>
      <color rgb="FFDC2626"/>
      <name val="Arial"/>
    </font>
    <font>
      <b/>
      <sz val="11.0"/>
      <color rgb="FFDC2626"/>
      <name val="Arial"/>
    </font>
    <font>
      <b/>
      <sz val="9.0"/>
      <color rgb="FF64FFDA"/>
      <name val="Quattrocento Sans"/>
    </font>
    <font>
      <b/>
      <sz val="9.0"/>
      <color rgb="FFB39DDB"/>
      <name val="Quattrocento Sans"/>
    </font>
    <font>
      <i/>
      <sz val="9.0"/>
      <color rgb="FF6B7280"/>
      <name val="Arial"/>
    </font>
    <font>
      <sz val="10.0"/>
      <color rgb="FF111827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0A0008"/>
        <bgColor rgb="FF0A0008"/>
      </patternFill>
    </fill>
    <fill>
      <patternFill patternType="solid">
        <fgColor rgb="FF1A0D2E"/>
        <bgColor rgb="FF1A0D2E"/>
      </patternFill>
    </fill>
    <fill>
      <patternFill patternType="solid">
        <fgColor rgb="FF1E0D35"/>
        <bgColor rgb="FF1E0D35"/>
      </patternFill>
    </fill>
    <fill>
      <patternFill patternType="solid">
        <fgColor rgb="FF100D1A"/>
        <bgColor rgb="FF100D1A"/>
      </patternFill>
    </fill>
    <fill>
      <patternFill patternType="solid">
        <fgColor rgb="FF0D1A12"/>
        <bgColor rgb="FF0D1A12"/>
      </patternFill>
    </fill>
    <fill>
      <patternFill patternType="solid">
        <fgColor rgb="FF1A0D0D"/>
        <bgColor rgb="FF1A0D0D"/>
      </patternFill>
    </fill>
    <fill>
      <patternFill patternType="solid">
        <fgColor rgb="FF0D1A16"/>
        <bgColor rgb="FF0D1A16"/>
      </patternFill>
    </fill>
    <fill>
      <patternFill patternType="solid">
        <fgColor rgb="FFCFAA2D"/>
        <bgColor rgb="FFCFAA2D"/>
      </patternFill>
    </fill>
    <fill>
      <patternFill patternType="solid">
        <fgColor rgb="FF0E0B16"/>
        <bgColor rgb="FF0E0B16"/>
      </patternFill>
    </fill>
    <fill>
      <patternFill patternType="solid">
        <fgColor rgb="FF120F1C"/>
        <bgColor rgb="FF120F1C"/>
      </patternFill>
    </fill>
    <fill>
      <patternFill patternType="solid">
        <fgColor rgb="FF241A00"/>
        <bgColor rgb="FF241A00"/>
      </patternFill>
    </fill>
    <fill>
      <patternFill patternType="solid">
        <fgColor rgb="FF1A1200"/>
        <bgColor rgb="FF1A1200"/>
      </patternFill>
    </fill>
  </fills>
  <borders count="20">
    <border/>
    <border>
      <left/>
      <right/>
      <top/>
      <bottom/>
    </border>
    <border>
      <left/>
      <top/>
    </border>
    <border>
      <top/>
    </border>
    <border>
      <left/>
    </border>
    <border>
      <left/>
      <top/>
      <bottom/>
    </border>
    <border>
      <top/>
      <bottom/>
    </border>
    <border>
      <left style="thin">
        <color rgb="FF8B6914"/>
      </left>
      <top style="thin">
        <color rgb="FF8B6914"/>
      </top>
      <bottom style="thin">
        <color rgb="FF8B6914"/>
      </bottom>
    </border>
    <border>
      <top style="thin">
        <color rgb="FF8B6914"/>
      </top>
      <bottom style="thin">
        <color rgb="FF8B6914"/>
      </bottom>
    </border>
    <border>
      <right style="thin">
        <color rgb="FF8B6914"/>
      </right>
      <top style="thin">
        <color rgb="FF8B6914"/>
      </top>
      <bottom style="thin">
        <color rgb="FF8B6914"/>
      </bottom>
    </border>
    <border>
      <left style="thin">
        <color rgb="FF2A2040"/>
      </left>
      <bottom style="thin">
        <color rgb="FF2A2040"/>
      </bottom>
    </border>
    <border>
      <left style="thin">
        <color rgb="FFCFAA2D"/>
      </left>
      <top style="thin">
        <color rgb="FFCFAA2D"/>
      </top>
      <bottom style="thin">
        <color rgb="FFCFAA2D"/>
      </bottom>
    </border>
    <border>
      <right style="thin">
        <color rgb="FFCFAA2D"/>
      </right>
      <top style="thin">
        <color rgb="FFCFAA2D"/>
      </top>
      <bottom style="thin">
        <color rgb="FFCFAA2D"/>
      </bottom>
    </border>
    <border>
      <left style="thin">
        <color rgb="FFCFAA2D"/>
      </left>
      <right style="thin">
        <color rgb="FFCFAA2D"/>
      </right>
      <top style="thin">
        <color rgb="FFCFAA2D"/>
      </top>
      <bottom style="thin">
        <color rgb="FFCFAA2D"/>
      </bottom>
    </border>
    <border>
      <left style="thin">
        <color rgb="FF8B6914"/>
      </left>
      <right style="thin">
        <color rgb="FF8B6914"/>
      </right>
      <top style="thin">
        <color rgb="FF8B6914"/>
      </top>
      <bottom style="thin">
        <color rgb="FF8B6914"/>
      </bottom>
    </border>
    <border>
      <bottom style="thin">
        <color rgb="FF2A2040"/>
      </bottom>
    </border>
    <border>
      <right style="thin">
        <color rgb="FF8B6914"/>
      </right>
      <top/>
    </border>
    <border>
      <left/>
      <bottom style="thin">
        <color rgb="FF8B6914"/>
      </bottom>
    </border>
    <border>
      <bottom style="thin">
        <color rgb="FF8B6914"/>
      </bottom>
    </border>
    <border>
      <right style="thin">
        <color rgb="FF8B6914"/>
      </right>
      <bottom style="thin">
        <color rgb="FF8B6914"/>
      </bottom>
    </border>
  </borders>
  <cellStyleXfs count="1">
    <xf borderId="0" fillId="0" fontId="0" numFmtId="0" applyAlignment="1" applyFont="1"/>
  </cellStyleXfs>
  <cellXfs count="12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0" fillId="0" fontId="1" numFmtId="0" xfId="0" applyAlignment="1" applyFont="1">
      <alignment vertical="bottom"/>
    </xf>
    <xf borderId="4" fillId="0" fontId="3" numFmtId="0" xfId="0" applyBorder="1" applyFont="1"/>
    <xf borderId="5" fillId="3" fontId="4" numFmtId="0" xfId="0" applyAlignment="1" applyBorder="1" applyFont="1">
      <alignment horizontal="center" vertical="center"/>
    </xf>
    <xf borderId="6" fillId="0" fontId="3" numFmtId="0" xfId="0" applyBorder="1" applyFont="1"/>
    <xf borderId="5" fillId="4" fontId="5" numFmtId="0" xfId="0" applyAlignment="1" applyBorder="1" applyFill="1" applyFont="1">
      <alignment horizontal="center" vertical="center"/>
    </xf>
    <xf borderId="1" fillId="5" fontId="6" numFmtId="0" xfId="0" applyAlignment="1" applyBorder="1" applyFill="1" applyFont="1">
      <alignment horizontal="left" vertical="center"/>
    </xf>
    <xf borderId="1" fillId="5" fontId="7" numFmtId="0" xfId="0" applyAlignment="1" applyBorder="1" applyFont="1">
      <alignment horizontal="left" vertical="center"/>
    </xf>
    <xf borderId="1" fillId="2" fontId="8" numFmtId="0" xfId="0" applyAlignment="1" applyBorder="1" applyFont="1">
      <alignment horizontal="left" vertical="center"/>
    </xf>
    <xf borderId="5" fillId="6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5" fillId="3" fontId="11" numFmtId="0" xfId="0" applyAlignment="1" applyBorder="1" applyFont="1">
      <alignment horizontal="center" vertical="center"/>
    </xf>
    <xf borderId="5" fillId="5" fontId="12" numFmtId="164" xfId="0" applyAlignment="1" applyBorder="1" applyFont="1" applyNumberFormat="1">
      <alignment horizontal="center" vertical="center"/>
    </xf>
    <xf borderId="5" fillId="5" fontId="13" numFmtId="164" xfId="0" applyAlignment="1" applyBorder="1" applyFont="1" applyNumberFormat="1">
      <alignment horizontal="center" vertical="center"/>
    </xf>
    <xf borderId="5" fillId="5" fontId="2" numFmtId="164" xfId="0" applyAlignment="1" applyBorder="1" applyFont="1" applyNumberFormat="1">
      <alignment horizontal="center" vertical="center"/>
    </xf>
    <xf borderId="5" fillId="5" fontId="14" numFmtId="0" xfId="0" applyAlignment="1" applyBorder="1" applyFont="1">
      <alignment horizontal="center" vertical="center"/>
    </xf>
    <xf borderId="5" fillId="2" fontId="1" numFmtId="0" xfId="0" applyAlignment="1" applyBorder="1" applyFont="1">
      <alignment vertical="bottom"/>
    </xf>
    <xf borderId="1" fillId="8" fontId="15" numFmtId="0" xfId="0" applyAlignment="1" applyBorder="1" applyFill="1" applyFont="1">
      <alignment horizontal="center" vertical="center"/>
    </xf>
    <xf borderId="1" fillId="7" fontId="10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vertical="center"/>
    </xf>
    <xf borderId="5" fillId="4" fontId="17" numFmtId="164" xfId="0" applyAlignment="1" applyBorder="1" applyFont="1" applyNumberFormat="1">
      <alignment horizontal="center" vertical="center"/>
    </xf>
    <xf borderId="5" fillId="4" fontId="18" numFmtId="164" xfId="0" applyAlignment="1" applyBorder="1" applyFont="1" applyNumberFormat="1">
      <alignment horizontal="center" vertical="center"/>
    </xf>
    <xf borderId="5" fillId="4" fontId="19" numFmtId="164" xfId="0" applyAlignment="1" applyBorder="1" applyFont="1" applyNumberFormat="1">
      <alignment horizontal="center" vertical="center"/>
    </xf>
    <xf borderId="5" fillId="4" fontId="14" numFmtId="165" xfId="0" applyAlignment="1" applyBorder="1" applyFont="1" applyNumberFormat="1">
      <alignment horizontal="center" vertical="center"/>
    </xf>
    <xf borderId="5" fillId="4" fontId="14" numFmtId="165" xfId="0" applyAlignment="1" applyBorder="1" applyFont="1" applyNumberFormat="1">
      <alignment horizontal="center" readingOrder="0" vertical="center"/>
    </xf>
    <xf borderId="5" fillId="2" fontId="20" numFmtId="0" xfId="0" applyAlignment="1" applyBorder="1" applyFont="1">
      <alignment horizontal="center" vertical="center"/>
    </xf>
    <xf borderId="1" fillId="3" fontId="21" numFmtId="0" xfId="0" applyAlignment="1" applyBorder="1" applyFont="1">
      <alignment horizontal="left" vertical="center"/>
    </xf>
    <xf borderId="7" fillId="9" fontId="22" numFmtId="0" xfId="0" applyAlignment="1" applyBorder="1" applyFill="1" applyFont="1">
      <alignment horizontal="center" vertical="center"/>
    </xf>
    <xf borderId="8" fillId="0" fontId="3" numFmtId="0" xfId="0" applyBorder="1" applyFont="1"/>
    <xf borderId="9" fillId="0" fontId="3" numFmtId="0" xfId="0" applyBorder="1" applyFont="1"/>
    <xf borderId="10" fillId="10" fontId="23" numFmtId="0" xfId="0" applyAlignment="1" applyBorder="1" applyFill="1" applyFont="1">
      <alignment horizontal="center" vertical="center"/>
    </xf>
    <xf borderId="10" fillId="11" fontId="23" numFmtId="0" xfId="0" applyAlignment="1" applyBorder="1" applyFill="1" applyFont="1">
      <alignment horizontal="center" vertical="center"/>
    </xf>
    <xf borderId="10" fillId="11" fontId="23" numFmtId="165" xfId="0" applyAlignment="1" applyBorder="1" applyFont="1" applyNumberFormat="1">
      <alignment horizontal="center" vertical="center"/>
    </xf>
    <xf borderId="10" fillId="11" fontId="23" numFmtId="166" xfId="0" applyAlignment="1" applyBorder="1" applyFont="1" applyNumberFormat="1">
      <alignment horizontal="center" vertical="center"/>
    </xf>
    <xf borderId="10" fillId="11" fontId="24" numFmtId="0" xfId="0" applyAlignment="1" applyBorder="1" applyFont="1">
      <alignment horizontal="center" vertical="center"/>
    </xf>
    <xf borderId="10" fillId="10" fontId="23" numFmtId="165" xfId="0" applyAlignment="1" applyBorder="1" applyFont="1" applyNumberFormat="1">
      <alignment horizontal="center" vertical="center"/>
    </xf>
    <xf borderId="10" fillId="10" fontId="23" numFmtId="166" xfId="0" applyAlignment="1" applyBorder="1" applyFont="1" applyNumberFormat="1">
      <alignment horizontal="center" vertical="center"/>
    </xf>
    <xf borderId="10" fillId="10" fontId="24" numFmtId="0" xfId="0" applyAlignment="1" applyBorder="1" applyFont="1">
      <alignment horizontal="center" vertical="center"/>
    </xf>
    <xf borderId="11" fillId="12" fontId="11" numFmtId="0" xfId="0" applyAlignment="1" applyBorder="1" applyFill="1" applyFont="1">
      <alignment horizontal="center" vertical="center"/>
    </xf>
    <xf borderId="12" fillId="0" fontId="3" numFmtId="0" xfId="0" applyBorder="1" applyFont="1"/>
    <xf borderId="13" fillId="3" fontId="11" numFmtId="165" xfId="0" applyAlignment="1" applyBorder="1" applyFont="1" applyNumberFormat="1">
      <alignment horizontal="center" vertical="center"/>
    </xf>
    <xf borderId="13" fillId="3" fontId="11" numFmtId="0" xfId="0" applyAlignment="1" applyBorder="1" applyFont="1">
      <alignment horizontal="center" vertical="center"/>
    </xf>
    <xf borderId="5" fillId="3" fontId="5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left" vertical="center"/>
    </xf>
    <xf borderId="0" fillId="0" fontId="1" numFmtId="0" xfId="0" applyFont="1"/>
    <xf borderId="2" fillId="3" fontId="25" numFmtId="0" xfId="0" applyAlignment="1" applyBorder="1" applyFont="1">
      <alignment horizontal="center" vertical="center"/>
    </xf>
    <xf borderId="1" fillId="3" fontId="1" numFmtId="0" xfId="0" applyBorder="1" applyFont="1"/>
    <xf borderId="5" fillId="13" fontId="11" numFmtId="0" xfId="0" applyAlignment="1" applyBorder="1" applyFill="1" applyFont="1">
      <alignment horizontal="center" vertical="center"/>
    </xf>
    <xf borderId="5" fillId="5" fontId="26" numFmtId="164" xfId="0" applyAlignment="1" applyBorder="1" applyFont="1" applyNumberFormat="1">
      <alignment horizontal="center" vertical="center"/>
    </xf>
    <xf borderId="5" fillId="5" fontId="27" numFmtId="164" xfId="0" applyAlignment="1" applyBorder="1" applyFont="1" applyNumberFormat="1">
      <alignment horizontal="center" vertical="center"/>
    </xf>
    <xf borderId="5" fillId="5" fontId="28" numFmtId="164" xfId="0" applyAlignment="1" applyBorder="1" applyFont="1" applyNumberFormat="1">
      <alignment horizontal="center" vertical="center"/>
    </xf>
    <xf borderId="14" fillId="9" fontId="22" numFmtId="0" xfId="0" applyAlignment="1" applyBorder="1" applyFont="1">
      <alignment horizontal="center" vertical="center"/>
    </xf>
    <xf borderId="15" fillId="11" fontId="23" numFmtId="0" xfId="0" applyAlignment="1" applyBorder="1" applyFont="1">
      <alignment horizontal="center" vertical="center"/>
    </xf>
    <xf borderId="15" fillId="11" fontId="24" numFmtId="0" xfId="0" applyAlignment="1" applyBorder="1" applyFont="1">
      <alignment horizontal="center" vertical="center"/>
    </xf>
    <xf borderId="15" fillId="11" fontId="9" numFmtId="164" xfId="0" applyAlignment="1" applyBorder="1" applyFont="1" applyNumberFormat="1">
      <alignment horizontal="center" vertical="center"/>
    </xf>
    <xf borderId="15" fillId="10" fontId="23" numFmtId="0" xfId="0" applyAlignment="1" applyBorder="1" applyFont="1">
      <alignment horizontal="center" vertical="center"/>
    </xf>
    <xf borderId="15" fillId="10" fontId="24" numFmtId="0" xfId="0" applyAlignment="1" applyBorder="1" applyFont="1">
      <alignment horizontal="center" vertical="center"/>
    </xf>
    <xf borderId="15" fillId="10" fontId="9" numFmtId="164" xfId="0" applyAlignment="1" applyBorder="1" applyFont="1" applyNumberFormat="1">
      <alignment horizontal="center" vertical="center"/>
    </xf>
    <xf borderId="15" fillId="11" fontId="29" numFmtId="0" xfId="0" applyAlignment="1" applyBorder="1" applyFont="1">
      <alignment horizontal="center" vertical="center"/>
    </xf>
    <xf borderId="15" fillId="11" fontId="10" numFmtId="164" xfId="0" applyAlignment="1" applyBorder="1" applyFont="1" applyNumberFormat="1">
      <alignment horizontal="center" vertical="center"/>
    </xf>
    <xf borderId="15" fillId="10" fontId="29" numFmtId="0" xfId="0" applyAlignment="1" applyBorder="1" applyFont="1">
      <alignment horizontal="center" vertical="center"/>
    </xf>
    <xf borderId="15" fillId="10" fontId="10" numFmtId="164" xfId="0" applyAlignment="1" applyBorder="1" applyFont="1" applyNumberFormat="1">
      <alignment horizontal="center" vertical="center"/>
    </xf>
    <xf borderId="15" fillId="10" fontId="30" numFmtId="0" xfId="0" applyAlignment="1" applyBorder="1" applyFont="1">
      <alignment horizontal="center" vertical="center"/>
    </xf>
    <xf borderId="15" fillId="11" fontId="30" numFmtId="0" xfId="0" applyAlignment="1" applyBorder="1" applyFont="1">
      <alignment horizontal="center" vertical="center"/>
    </xf>
    <xf borderId="15" fillId="10" fontId="23" numFmtId="165" xfId="0" applyAlignment="1" applyBorder="1" applyFont="1" applyNumberFormat="1">
      <alignment horizontal="center" vertical="center"/>
    </xf>
    <xf borderId="15" fillId="11" fontId="23" numFmtId="165" xfId="0" applyAlignment="1" applyBorder="1" applyFont="1" applyNumberFormat="1">
      <alignment horizontal="center" vertical="center"/>
    </xf>
    <xf borderId="5" fillId="2" fontId="31" numFmtId="0" xfId="0" applyAlignment="1" applyBorder="1" applyFont="1">
      <alignment horizontal="right" vertical="center"/>
    </xf>
    <xf borderId="1" fillId="2" fontId="32" numFmtId="165" xfId="0" applyAlignment="1" applyBorder="1" applyFont="1" applyNumberFormat="1">
      <alignment horizontal="right" vertical="center"/>
    </xf>
    <xf borderId="5" fillId="2" fontId="20" numFmtId="0" xfId="0" applyAlignment="1" applyBorder="1" applyFont="1">
      <alignment horizontal="left" vertical="center"/>
    </xf>
    <xf borderId="2" fillId="3" fontId="33" numFmtId="0" xfId="0" applyAlignment="1" applyBorder="1" applyFont="1">
      <alignment horizontal="center" vertical="center"/>
    </xf>
    <xf borderId="5" fillId="11" fontId="23" numFmtId="0" xfId="0" applyAlignment="1" applyBorder="1" applyFont="1">
      <alignment horizontal="center" vertical="center"/>
    </xf>
    <xf borderId="1" fillId="10" fontId="23" numFmtId="0" xfId="0" applyAlignment="1" applyBorder="1" applyFont="1">
      <alignment horizontal="center" vertical="center"/>
    </xf>
    <xf borderId="1" fillId="10" fontId="34" numFmtId="0" xfId="0" applyAlignment="1" applyBorder="1" applyFont="1">
      <alignment horizontal="center" vertical="center"/>
    </xf>
    <xf borderId="1" fillId="11" fontId="23" numFmtId="0" xfId="0" applyAlignment="1" applyBorder="1" applyFont="1">
      <alignment horizontal="center" vertical="center"/>
    </xf>
    <xf borderId="1" fillId="11" fontId="23" numFmtId="165" xfId="0" applyAlignment="1" applyBorder="1" applyFont="1" applyNumberFormat="1">
      <alignment horizontal="center" vertical="center"/>
    </xf>
    <xf borderId="1" fillId="11" fontId="34" numFmtId="0" xfId="0" applyAlignment="1" applyBorder="1" applyFont="1">
      <alignment horizontal="center" vertical="center"/>
    </xf>
    <xf borderId="1" fillId="10" fontId="23" numFmtId="165" xfId="0" applyAlignment="1" applyBorder="1" applyFont="1" applyNumberFormat="1">
      <alignment horizontal="center" vertical="center"/>
    </xf>
    <xf borderId="1" fillId="2" fontId="35" numFmtId="0" xfId="0" applyAlignment="1" applyBorder="1" applyFont="1">
      <alignment horizontal="left" vertical="center"/>
    </xf>
    <xf borderId="1" fillId="2" fontId="36" numFmtId="165" xfId="0" applyAlignment="1" applyBorder="1" applyFont="1" applyNumberFormat="1">
      <alignment horizontal="right" vertical="center"/>
    </xf>
    <xf borderId="1" fillId="2" fontId="37" numFmtId="165" xfId="0" applyAlignment="1" applyBorder="1" applyFont="1" applyNumberFormat="1">
      <alignment horizontal="right" vertical="center"/>
    </xf>
    <xf borderId="1" fillId="2" fontId="35" numFmtId="0" xfId="0" applyAlignment="1" applyBorder="1" applyFont="1">
      <alignment horizontal="center" vertical="center"/>
    </xf>
    <xf borderId="1" fillId="2" fontId="38" numFmtId="0" xfId="0" applyAlignment="1" applyBorder="1" applyFont="1">
      <alignment horizontal="center" vertical="center"/>
    </xf>
    <xf borderId="1" fillId="4" fontId="5" numFmtId="0" xfId="0" applyBorder="1" applyFont="1"/>
    <xf borderId="1" fillId="9" fontId="22" numFmtId="0" xfId="0" applyAlignment="1" applyBorder="1" applyFont="1">
      <alignment horizontal="center" vertical="center"/>
    </xf>
    <xf borderId="1" fillId="11" fontId="23" numFmtId="1" xfId="0" applyAlignment="1" applyBorder="1" applyFont="1" applyNumberFormat="1">
      <alignment horizontal="center" vertical="center"/>
    </xf>
    <xf borderId="1" fillId="11" fontId="23" numFmtId="166" xfId="0" applyAlignment="1" applyBorder="1" applyFont="1" applyNumberFormat="1">
      <alignment horizontal="center" vertical="center"/>
    </xf>
    <xf borderId="1" fillId="10" fontId="23" numFmtId="1" xfId="0" applyAlignment="1" applyBorder="1" applyFont="1" applyNumberFormat="1">
      <alignment horizontal="center" vertical="center"/>
    </xf>
    <xf borderId="1" fillId="10" fontId="23" numFmtId="166" xfId="0" applyAlignment="1" applyBorder="1" applyFont="1" applyNumberFormat="1">
      <alignment horizontal="center" vertical="center"/>
    </xf>
    <xf borderId="1" fillId="2" fontId="39" numFmtId="165" xfId="0" applyAlignment="1" applyBorder="1" applyFont="1" applyNumberFormat="1">
      <alignment horizontal="right" vertical="center"/>
    </xf>
    <xf borderId="1" fillId="2" fontId="39" numFmtId="1" xfId="0" applyAlignment="1" applyBorder="1" applyFont="1" applyNumberFormat="1">
      <alignment horizontal="right" vertical="center"/>
    </xf>
    <xf borderId="1" fillId="2" fontId="40" numFmtId="166" xfId="0" applyAlignment="1" applyBorder="1" applyFont="1" applyNumberFormat="1">
      <alignment horizontal="center" vertical="center"/>
    </xf>
    <xf borderId="5" fillId="2" fontId="41" numFmtId="0" xfId="0" applyAlignment="1" applyBorder="1" applyFont="1">
      <alignment horizontal="center" vertical="center"/>
    </xf>
    <xf borderId="1" fillId="2" fontId="42" numFmtId="165" xfId="0" applyAlignment="1" applyBorder="1" applyFont="1" applyNumberFormat="1">
      <alignment horizontal="right" vertical="center"/>
    </xf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1" fillId="10" fontId="24" numFmtId="0" xfId="0" applyAlignment="1" applyBorder="1" applyFont="1">
      <alignment horizontal="center" vertical="center"/>
    </xf>
    <xf borderId="1" fillId="10" fontId="29" numFmtId="0" xfId="0" applyAlignment="1" applyBorder="1" applyFont="1">
      <alignment horizontal="center" vertical="center"/>
    </xf>
    <xf borderId="1" fillId="10" fontId="29" numFmtId="164" xfId="0" applyAlignment="1" applyBorder="1" applyFont="1" applyNumberFormat="1">
      <alignment horizontal="center" vertical="center"/>
    </xf>
    <xf borderId="1" fillId="10" fontId="29" numFmtId="165" xfId="0" applyAlignment="1" applyBorder="1" applyFont="1" applyNumberFormat="1">
      <alignment horizontal="center" vertical="center"/>
    </xf>
    <xf borderId="1" fillId="10" fontId="30" numFmtId="0" xfId="0" applyAlignment="1" applyBorder="1" applyFont="1">
      <alignment horizontal="center" vertical="center"/>
    </xf>
    <xf borderId="1" fillId="10" fontId="30" numFmtId="164" xfId="0" applyAlignment="1" applyBorder="1" applyFont="1" applyNumberFormat="1">
      <alignment horizontal="center" vertical="center"/>
    </xf>
    <xf borderId="1" fillId="10" fontId="30" numFmtId="165" xfId="0" applyAlignment="1" applyBorder="1" applyFont="1" applyNumberFormat="1">
      <alignment horizontal="center" vertical="center"/>
    </xf>
    <xf borderId="1" fillId="10" fontId="43" numFmtId="0" xfId="0" applyAlignment="1" applyBorder="1" applyFont="1">
      <alignment horizontal="center" vertical="center"/>
    </xf>
    <xf borderId="1" fillId="10" fontId="43" numFmtId="164" xfId="0" applyAlignment="1" applyBorder="1" applyFont="1" applyNumberFormat="1">
      <alignment horizontal="center" vertical="center"/>
    </xf>
    <xf borderId="1" fillId="10" fontId="43" numFmtId="165" xfId="0" applyAlignment="1" applyBorder="1" applyFont="1" applyNumberFormat="1">
      <alignment horizontal="center" vertical="center"/>
    </xf>
    <xf borderId="1" fillId="10" fontId="44" numFmtId="0" xfId="0" applyAlignment="1" applyBorder="1" applyFont="1">
      <alignment horizontal="center" vertical="center"/>
    </xf>
    <xf borderId="1" fillId="10" fontId="44" numFmtId="164" xfId="0" applyAlignment="1" applyBorder="1" applyFont="1" applyNumberFormat="1">
      <alignment horizontal="center" vertical="center"/>
    </xf>
    <xf borderId="1" fillId="10" fontId="44" numFmtId="165" xfId="0" applyAlignment="1" applyBorder="1" applyFont="1" applyNumberFormat="1">
      <alignment horizontal="center" vertical="center"/>
    </xf>
    <xf borderId="1" fillId="10" fontId="23" numFmtId="164" xfId="0" applyAlignment="1" applyBorder="1" applyFont="1" applyNumberFormat="1">
      <alignment horizontal="center" vertical="center"/>
    </xf>
    <xf borderId="5" fillId="2" fontId="45" numFmtId="0" xfId="0" applyAlignment="1" applyBorder="1" applyFont="1">
      <alignment horizontal="left" vertical="center"/>
    </xf>
    <xf borderId="1" fillId="10" fontId="23" numFmtId="0" xfId="0" applyAlignment="1" applyBorder="1" applyFont="1">
      <alignment horizontal="left" vertical="center"/>
    </xf>
    <xf borderId="1" fillId="11" fontId="2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left" vertical="center"/>
    </xf>
    <xf borderId="5" fillId="2" fontId="46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customschemas.google.com/relationships/workbookmetadata" Target="metadata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47625</xdr:colOff>
      <xdr:row>0</xdr:row>
      <xdr:rowOff>38100</xdr:rowOff>
    </xdr:from>
    <xdr:ext cx="2857500" cy="1143000"/>
    <xdr:pic>
      <xdr:nvPicPr>
        <xdr:cNvPr descr="Picture" id="0" name="image1.jp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0</xdr:row>
      <xdr:rowOff>0</xdr:rowOff>
    </xdr:from>
    <xdr:ext cx="1714500" cy="685800"/>
    <xdr:pic>
      <xdr:nvPicPr>
        <xdr:cNvPr descr="Picture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228600</xdr:colOff>
      <xdr:row>0</xdr:row>
      <xdr:rowOff>9525</xdr:rowOff>
    </xdr:from>
    <xdr:ext cx="1905000" cy="762000"/>
    <xdr:pic>
      <xdr:nvPicPr>
        <xdr:cNvPr descr="Picture" id="0" name="image1.jp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14.0" topLeftCell="B15" activePane="bottomRight" state="frozen"/>
      <selection activeCell="B1" sqref="B1" pane="topRight"/>
      <selection activeCell="A15" sqref="A15" pane="bottomLeft"/>
      <selection activeCell="B15" sqref="B15" pane="bottomRight"/>
    </sheetView>
  </sheetViews>
  <sheetFormatPr customHeight="1" defaultColWidth="14.43" defaultRowHeight="15.0"/>
  <cols>
    <col customWidth="1" min="1" max="1" width="3.0"/>
    <col customWidth="1" min="2" max="2" width="20.0"/>
    <col customWidth="1" min="3" max="4" width="12.0"/>
    <col customWidth="1" min="5" max="5" width="20.0"/>
    <col customWidth="1" min="6" max="7" width="12.0"/>
    <col customWidth="1" min="8" max="8" width="18.0"/>
    <col customWidth="1" min="9" max="12" width="12.0"/>
    <col customWidth="1" min="13" max="19" width="8.71"/>
  </cols>
  <sheetData>
    <row r="1" ht="39.75" customHeight="1">
      <c r="A1" s="1"/>
      <c r="B1" s="2" t="s">
        <v>0</v>
      </c>
      <c r="C1" s="3"/>
      <c r="D1" s="3"/>
      <c r="E1" s="3"/>
      <c r="F1" s="3"/>
      <c r="G1" s="3"/>
      <c r="H1" s="3"/>
      <c r="I1" s="1"/>
      <c r="J1" s="1"/>
      <c r="K1" s="1"/>
      <c r="L1" s="1"/>
      <c r="M1" s="4"/>
      <c r="N1" s="4"/>
      <c r="O1" s="4"/>
      <c r="P1" s="4"/>
      <c r="Q1" s="4"/>
      <c r="R1" s="4"/>
      <c r="S1" s="4"/>
    </row>
    <row r="2" ht="7.5" customHeight="1">
      <c r="A2" s="1"/>
      <c r="B2" s="5"/>
      <c r="I2" s="1"/>
      <c r="J2" s="1"/>
      <c r="K2" s="1"/>
      <c r="L2" s="1"/>
      <c r="M2" s="4"/>
      <c r="N2" s="4"/>
      <c r="O2" s="4"/>
      <c r="P2" s="4"/>
      <c r="Q2" s="4"/>
      <c r="R2" s="4"/>
      <c r="S2" s="4"/>
    </row>
    <row r="3" ht="19.5" customHeight="1">
      <c r="A3" s="1"/>
      <c r="B3" s="6" t="s">
        <v>1</v>
      </c>
      <c r="C3" s="7"/>
      <c r="D3" s="7"/>
      <c r="E3" s="7"/>
      <c r="F3" s="7"/>
      <c r="G3" s="7"/>
      <c r="H3" s="7"/>
      <c r="I3" s="1"/>
      <c r="J3" s="1"/>
      <c r="K3" s="1"/>
      <c r="L3" s="1"/>
      <c r="M3" s="4"/>
      <c r="N3" s="4"/>
      <c r="O3" s="4"/>
      <c r="P3" s="4"/>
      <c r="Q3" s="4"/>
      <c r="R3" s="4"/>
      <c r="S3" s="4"/>
    </row>
    <row r="4" ht="21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4"/>
      <c r="N4" s="4"/>
      <c r="O4" s="4"/>
      <c r="P4" s="4"/>
      <c r="Q4" s="4"/>
      <c r="R4" s="4"/>
      <c r="S4" s="4"/>
    </row>
    <row r="5" ht="27.75" customHeight="1">
      <c r="A5" s="1"/>
      <c r="B5" s="8" t="s">
        <v>2</v>
      </c>
      <c r="C5" s="7"/>
      <c r="D5" s="7"/>
      <c r="E5" s="1"/>
      <c r="F5" s="1"/>
      <c r="G5" s="1"/>
      <c r="H5" s="1"/>
      <c r="I5" s="1"/>
      <c r="J5" s="1"/>
      <c r="K5" s="1"/>
      <c r="L5" s="1"/>
      <c r="M5" s="4"/>
      <c r="N5" s="4"/>
      <c r="O5" s="4"/>
      <c r="P5" s="4"/>
      <c r="Q5" s="4"/>
      <c r="R5" s="4"/>
      <c r="S5" s="4"/>
    </row>
    <row r="6" ht="19.5" customHeight="1">
      <c r="A6" s="1"/>
      <c r="B6" s="9" t="s">
        <v>3</v>
      </c>
      <c r="C6" s="10" t="s">
        <v>4</v>
      </c>
      <c r="D6" s="11" t="s">
        <v>5</v>
      </c>
      <c r="E6" s="1"/>
      <c r="F6" s="1"/>
      <c r="G6" s="1"/>
      <c r="H6" s="1"/>
      <c r="I6" s="1"/>
      <c r="J6" s="1"/>
      <c r="K6" s="1"/>
      <c r="L6" s="1"/>
      <c r="M6" s="4"/>
      <c r="N6" s="4"/>
      <c r="O6" s="4"/>
      <c r="P6" s="4"/>
      <c r="Q6" s="4"/>
      <c r="R6" s="4"/>
      <c r="S6" s="4"/>
    </row>
    <row r="7" ht="19.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4"/>
      <c r="N7" s="4"/>
      <c r="O7" s="4"/>
      <c r="P7" s="4"/>
      <c r="Q7" s="4"/>
      <c r="R7" s="4"/>
      <c r="S7" s="4"/>
    </row>
    <row r="8" ht="24.0" customHeight="1">
      <c r="A8" s="1"/>
      <c r="B8" s="12" t="s">
        <v>6</v>
      </c>
      <c r="C8" s="7"/>
      <c r="D8" s="7"/>
      <c r="E8" s="13" t="s">
        <v>7</v>
      </c>
      <c r="F8" s="7"/>
      <c r="G8" s="7"/>
      <c r="H8" s="14" t="s">
        <v>8</v>
      </c>
      <c r="I8" s="7"/>
      <c r="J8" s="7"/>
      <c r="K8" s="1"/>
      <c r="L8" s="1"/>
      <c r="M8" s="4"/>
      <c r="N8" s="4"/>
      <c r="O8" s="4"/>
      <c r="P8" s="4"/>
      <c r="Q8" s="4"/>
      <c r="R8" s="4"/>
      <c r="S8" s="4"/>
    </row>
    <row r="9" ht="36.0" customHeight="1">
      <c r="A9" s="1"/>
      <c r="B9" s="15">
        <f>SUMIF(Janeiro!C:C,"Receita",Janeiro!E:E)</f>
        <v>0</v>
      </c>
      <c r="C9" s="7"/>
      <c r="D9" s="7"/>
      <c r="E9" s="16">
        <f>SUMIF(Janeiro!C:C,"Despesa",Janeiro!E:E)</f>
        <v>0</v>
      </c>
      <c r="F9" s="7"/>
      <c r="G9" s="7"/>
      <c r="H9" s="17">
        <f>B9-E9</f>
        <v>0</v>
      </c>
      <c r="I9" s="7"/>
      <c r="J9" s="7"/>
      <c r="K9" s="1"/>
      <c r="L9" s="1"/>
      <c r="M9" s="4"/>
      <c r="N9" s="4"/>
      <c r="O9" s="4"/>
      <c r="P9" s="4"/>
      <c r="Q9" s="4"/>
      <c r="R9" s="4"/>
      <c r="S9" s="4"/>
    </row>
    <row r="10" ht="19.5" customHeight="1">
      <c r="A10" s="1"/>
      <c r="B10" s="18" t="s">
        <v>9</v>
      </c>
      <c r="C10" s="7"/>
      <c r="D10" s="7"/>
      <c r="E10" s="18" t="s">
        <v>10</v>
      </c>
      <c r="F10" s="7"/>
      <c r="G10" s="7"/>
      <c r="H10" s="18" t="s">
        <v>11</v>
      </c>
      <c r="I10" s="7"/>
      <c r="J10" s="7"/>
      <c r="K10" s="1"/>
      <c r="L10" s="1"/>
      <c r="M10" s="4"/>
      <c r="N10" s="4"/>
      <c r="O10" s="4"/>
      <c r="P10" s="4"/>
      <c r="Q10" s="4"/>
      <c r="R10" s="4"/>
      <c r="S10" s="4"/>
    </row>
    <row r="11" ht="19.5" customHeight="1">
      <c r="A11" s="1"/>
      <c r="B11" s="19"/>
      <c r="C11" s="7"/>
      <c r="D11" s="7"/>
      <c r="E11" s="19"/>
      <c r="F11" s="7"/>
      <c r="G11" s="7"/>
      <c r="H11" s="19"/>
      <c r="I11" s="7"/>
      <c r="J11" s="7"/>
      <c r="K11" s="1"/>
      <c r="L11" s="1"/>
      <c r="M11" s="4"/>
      <c r="N11" s="4"/>
      <c r="O11" s="4"/>
      <c r="P11" s="4"/>
      <c r="Q11" s="4"/>
      <c r="R11" s="4"/>
      <c r="S11" s="4"/>
    </row>
    <row r="12" ht="24.0" customHeight="1">
      <c r="A12" s="1"/>
      <c r="B12" s="20" t="s">
        <v>12</v>
      </c>
      <c r="C12" s="1"/>
      <c r="D12" s="1"/>
      <c r="E12" s="21" t="s">
        <v>13</v>
      </c>
      <c r="F12" s="1"/>
      <c r="G12" s="1"/>
      <c r="H12" s="22" t="s">
        <v>14</v>
      </c>
      <c r="I12" s="1"/>
      <c r="J12" s="1"/>
      <c r="K12" s="1"/>
      <c r="L12" s="1"/>
      <c r="M12" s="4"/>
      <c r="N12" s="4"/>
      <c r="O12" s="4"/>
      <c r="P12" s="4"/>
      <c r="Q12" s="4"/>
      <c r="R12" s="4"/>
      <c r="S12" s="4"/>
    </row>
    <row r="13" ht="31.5" customHeight="1">
      <c r="A13" s="1"/>
      <c r="B13" s="23" t="s">
        <v>12</v>
      </c>
      <c r="C13" s="7"/>
      <c r="D13" s="7"/>
      <c r="E13" s="24" t="s">
        <v>13</v>
      </c>
      <c r="F13" s="7"/>
      <c r="G13" s="7"/>
      <c r="H13" s="25" t="s">
        <v>14</v>
      </c>
      <c r="I13" s="7"/>
      <c r="J13" s="7"/>
      <c r="K13" s="1"/>
      <c r="L13" s="1"/>
      <c r="M13" s="4"/>
      <c r="N13" s="4"/>
      <c r="O13" s="4"/>
      <c r="P13" s="4"/>
      <c r="Q13" s="4"/>
      <c r="R13" s="4"/>
      <c r="S13" s="4"/>
    </row>
    <row r="14" ht="19.5" customHeight="1">
      <c r="A14" s="1"/>
      <c r="B14" s="26">
        <f>SUMIF(Janeiro!D:D,"Meta",Janeiro!E:E)</f>
        <v>0</v>
      </c>
      <c r="C14" s="7"/>
      <c r="D14" s="7"/>
      <c r="E14" s="26">
        <f>SUMIF(Janeiro!D:D,"Fixo",Janeiro!E:E)*0</f>
        <v>0</v>
      </c>
      <c r="F14" s="7"/>
      <c r="G14" s="7"/>
      <c r="H14" s="27">
        <v>10000.0</v>
      </c>
      <c r="I14" s="7"/>
      <c r="J14" s="7"/>
      <c r="K14" s="1"/>
      <c r="L14" s="1"/>
      <c r="M14" s="4"/>
      <c r="N14" s="4"/>
      <c r="O14" s="4"/>
      <c r="P14" s="4"/>
      <c r="Q14" s="4"/>
      <c r="R14" s="4"/>
      <c r="S14" s="4"/>
    </row>
    <row r="15" ht="19.5" customHeight="1">
      <c r="A15" s="1"/>
      <c r="B15" s="28" t="s">
        <v>15</v>
      </c>
      <c r="C15" s="7"/>
      <c r="D15" s="7"/>
      <c r="E15" s="28" t="s">
        <v>16</v>
      </c>
      <c r="F15" s="7"/>
      <c r="G15" s="7"/>
      <c r="H15" s="28" t="s">
        <v>17</v>
      </c>
      <c r="I15" s="7"/>
      <c r="J15" s="7"/>
      <c r="K15" s="1"/>
      <c r="L15" s="1"/>
      <c r="M15" s="4"/>
      <c r="N15" s="4"/>
      <c r="O15" s="4"/>
      <c r="P15" s="4"/>
      <c r="Q15" s="4"/>
      <c r="R15" s="4"/>
      <c r="S15" s="4"/>
    </row>
    <row r="16" ht="19.5" customHeight="1">
      <c r="A16" s="1"/>
      <c r="B16" s="19"/>
      <c r="C16" s="7"/>
      <c r="D16" s="7"/>
      <c r="E16" s="19"/>
      <c r="F16" s="7"/>
      <c r="G16" s="7"/>
      <c r="H16" s="19"/>
      <c r="I16" s="7"/>
      <c r="J16" s="7"/>
      <c r="K16" s="1"/>
      <c r="L16" s="1"/>
      <c r="M16" s="4"/>
      <c r="N16" s="4"/>
      <c r="O16" s="4"/>
      <c r="P16" s="4"/>
      <c r="Q16" s="4"/>
      <c r="R16" s="4"/>
      <c r="S16" s="4"/>
    </row>
    <row r="17" ht="19.5" customHeight="1">
      <c r="A17" s="1"/>
      <c r="B17" s="29" t="s">
        <v>18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4"/>
      <c r="N17" s="4"/>
      <c r="O17" s="4"/>
      <c r="P17" s="4"/>
      <c r="Q17" s="4"/>
      <c r="R17" s="4"/>
      <c r="S17" s="4"/>
    </row>
    <row r="18" ht="24.0" customHeight="1">
      <c r="A18" s="1"/>
      <c r="B18" s="30" t="s">
        <v>19</v>
      </c>
      <c r="C18" s="31"/>
      <c r="D18" s="31"/>
      <c r="E18" s="31"/>
      <c r="F18" s="31"/>
      <c r="G18" s="31"/>
      <c r="H18" s="31"/>
      <c r="I18" s="31"/>
      <c r="J18" s="32"/>
      <c r="K18" s="1"/>
      <c r="L18" s="1"/>
      <c r="M18" s="4"/>
      <c r="N18" s="4"/>
      <c r="O18" s="4"/>
      <c r="P18" s="4"/>
      <c r="Q18" s="4"/>
      <c r="R18" s="4"/>
      <c r="S18" s="4"/>
    </row>
    <row r="19" ht="19.5" customHeight="1">
      <c r="A19" s="1"/>
      <c r="B19" s="33" t="s">
        <v>20</v>
      </c>
      <c r="C19" s="33" t="s">
        <v>21</v>
      </c>
      <c r="D19" s="33" t="s">
        <v>22</v>
      </c>
      <c r="E19" s="33" t="s">
        <v>23</v>
      </c>
      <c r="F19" s="33" t="s">
        <v>24</v>
      </c>
      <c r="G19" s="33" t="s">
        <v>25</v>
      </c>
      <c r="H19" s="33" t="s">
        <v>26</v>
      </c>
      <c r="I19" s="33"/>
      <c r="J19" s="1"/>
      <c r="K19" s="1"/>
      <c r="L19" s="1"/>
      <c r="M19" s="4"/>
      <c r="N19" s="4"/>
      <c r="O19" s="4"/>
      <c r="P19" s="4"/>
      <c r="Q19" s="4"/>
      <c r="R19" s="4"/>
      <c r="S19" s="4"/>
    </row>
    <row r="20" ht="19.5" customHeight="1">
      <c r="A20" s="1"/>
      <c r="B20" s="34" t="s">
        <v>27</v>
      </c>
      <c r="C20" s="34" t="s">
        <v>28</v>
      </c>
      <c r="D20" s="35">
        <v>1500.0</v>
      </c>
      <c r="E20" s="35">
        <v>0.0</v>
      </c>
      <c r="F20" s="35">
        <f t="shared" ref="F20:F31" si="1">E20-D20</f>
        <v>-1500</v>
      </c>
      <c r="G20" s="36">
        <f>IFERROR(D20/SUM(D20:D31),0)</f>
        <v>0.3448275862</v>
      </c>
      <c r="H20" s="37" t="str">
        <f t="shared" ref="H20:H31" si="2">IF(E20&lt;=D20,"✅ OK","⚠️ Excedeu")</f>
        <v>✅ OK</v>
      </c>
      <c r="I20" s="34"/>
      <c r="J20" s="1"/>
      <c r="K20" s="1"/>
      <c r="L20" s="1"/>
      <c r="M20" s="4"/>
      <c r="N20" s="4"/>
      <c r="O20" s="4"/>
      <c r="P20" s="4"/>
      <c r="Q20" s="4"/>
      <c r="R20" s="4"/>
      <c r="S20" s="4"/>
    </row>
    <row r="21" ht="19.5" customHeight="1">
      <c r="A21" s="1"/>
      <c r="B21" s="33" t="s">
        <v>29</v>
      </c>
      <c r="C21" s="33" t="s">
        <v>28</v>
      </c>
      <c r="D21" s="38">
        <v>400.0</v>
      </c>
      <c r="E21" s="38">
        <v>0.0</v>
      </c>
      <c r="F21" s="38">
        <f t="shared" si="1"/>
        <v>-400</v>
      </c>
      <c r="G21" s="39">
        <f>IFERROR(D21/SUM(D20:D31),0)</f>
        <v>0.09195402299</v>
      </c>
      <c r="H21" s="40" t="str">
        <f t="shared" si="2"/>
        <v>✅ OK</v>
      </c>
      <c r="I21" s="33"/>
      <c r="J21" s="1"/>
      <c r="K21" s="1"/>
      <c r="L21" s="1"/>
      <c r="M21" s="4"/>
      <c r="N21" s="4"/>
      <c r="O21" s="4"/>
      <c r="P21" s="4"/>
      <c r="Q21" s="4"/>
      <c r="R21" s="4"/>
      <c r="S21" s="4"/>
    </row>
    <row r="22" ht="19.5" customHeight="1">
      <c r="A22" s="1"/>
      <c r="B22" s="34" t="s">
        <v>30</v>
      </c>
      <c r="C22" s="34" t="s">
        <v>28</v>
      </c>
      <c r="D22" s="35">
        <v>300.0</v>
      </c>
      <c r="E22" s="35">
        <v>0.0</v>
      </c>
      <c r="F22" s="35">
        <f t="shared" si="1"/>
        <v>-300</v>
      </c>
      <c r="G22" s="36">
        <f>IFERROR(D22/SUM(D20:D31),0)</f>
        <v>0.06896551724</v>
      </c>
      <c r="H22" s="37" t="str">
        <f t="shared" si="2"/>
        <v>✅ OK</v>
      </c>
      <c r="I22" s="34"/>
      <c r="J22" s="1"/>
      <c r="K22" s="1"/>
      <c r="L22" s="1"/>
      <c r="M22" s="4"/>
      <c r="N22" s="4"/>
      <c r="O22" s="4"/>
      <c r="P22" s="4"/>
      <c r="Q22" s="4"/>
      <c r="R22" s="4"/>
      <c r="S22" s="4"/>
    </row>
    <row r="23" ht="19.5" customHeight="1">
      <c r="A23" s="1"/>
      <c r="B23" s="33" t="s">
        <v>31</v>
      </c>
      <c r="C23" s="33" t="s">
        <v>32</v>
      </c>
      <c r="D23" s="38">
        <v>600.0</v>
      </c>
      <c r="E23" s="38">
        <v>0.0</v>
      </c>
      <c r="F23" s="38">
        <f t="shared" si="1"/>
        <v>-600</v>
      </c>
      <c r="G23" s="39">
        <f>IFERROR(D23/SUM(D20:D31),0)</f>
        <v>0.1379310345</v>
      </c>
      <c r="H23" s="40" t="str">
        <f t="shared" si="2"/>
        <v>✅ OK</v>
      </c>
      <c r="I23" s="33"/>
      <c r="J23" s="1"/>
      <c r="K23" s="1"/>
      <c r="L23" s="1"/>
      <c r="M23" s="4"/>
      <c r="N23" s="4"/>
      <c r="O23" s="4"/>
      <c r="P23" s="4"/>
      <c r="Q23" s="4"/>
      <c r="R23" s="4"/>
      <c r="S23" s="4"/>
    </row>
    <row r="24" ht="19.5" customHeight="1">
      <c r="A24" s="1"/>
      <c r="B24" s="34" t="s">
        <v>33</v>
      </c>
      <c r="C24" s="34" t="s">
        <v>28</v>
      </c>
      <c r="D24" s="35">
        <v>300.0</v>
      </c>
      <c r="E24" s="35">
        <v>0.0</v>
      </c>
      <c r="F24" s="35">
        <f t="shared" si="1"/>
        <v>-300</v>
      </c>
      <c r="G24" s="36">
        <f>IFERROR(D24/SUM(D20:D31),0)</f>
        <v>0.06896551724</v>
      </c>
      <c r="H24" s="37" t="str">
        <f t="shared" si="2"/>
        <v>✅ OK</v>
      </c>
      <c r="I24" s="34"/>
      <c r="J24" s="1"/>
      <c r="K24" s="1"/>
      <c r="L24" s="1"/>
      <c r="M24" s="4"/>
      <c r="N24" s="4"/>
      <c r="O24" s="4"/>
      <c r="P24" s="4"/>
      <c r="Q24" s="4"/>
      <c r="R24" s="4"/>
      <c r="S24" s="4"/>
    </row>
    <row r="25" ht="19.5" customHeight="1">
      <c r="A25" s="1"/>
      <c r="B25" s="33" t="s">
        <v>34</v>
      </c>
      <c r="C25" s="33" t="s">
        <v>32</v>
      </c>
      <c r="D25" s="38">
        <v>100.0</v>
      </c>
      <c r="E25" s="38">
        <v>0.0</v>
      </c>
      <c r="F25" s="38">
        <f t="shared" si="1"/>
        <v>-100</v>
      </c>
      <c r="G25" s="39">
        <f>IFERROR(D25/SUM(D20:D31),0)</f>
        <v>0.02298850575</v>
      </c>
      <c r="H25" s="40" t="str">
        <f t="shared" si="2"/>
        <v>✅ OK</v>
      </c>
      <c r="I25" s="33"/>
      <c r="J25" s="1"/>
      <c r="K25" s="1"/>
      <c r="L25" s="1"/>
      <c r="M25" s="4"/>
      <c r="N25" s="4"/>
      <c r="O25" s="4"/>
      <c r="P25" s="4"/>
      <c r="Q25" s="4"/>
      <c r="R25" s="4"/>
      <c r="S25" s="4"/>
    </row>
    <row r="26" ht="19.5" customHeight="1">
      <c r="A26" s="1"/>
      <c r="B26" s="34" t="s">
        <v>35</v>
      </c>
      <c r="C26" s="34" t="s">
        <v>36</v>
      </c>
      <c r="D26" s="35">
        <v>150.0</v>
      </c>
      <c r="E26" s="35">
        <v>0.0</v>
      </c>
      <c r="F26" s="35">
        <f t="shared" si="1"/>
        <v>-150</v>
      </c>
      <c r="G26" s="36">
        <f>IFERROR(D26/SUM(D20:D31),0)</f>
        <v>0.03448275862</v>
      </c>
      <c r="H26" s="37" t="str">
        <f t="shared" si="2"/>
        <v>✅ OK</v>
      </c>
      <c r="I26" s="34"/>
      <c r="J26" s="1"/>
      <c r="K26" s="1"/>
      <c r="L26" s="1"/>
      <c r="M26" s="4"/>
      <c r="N26" s="4"/>
      <c r="O26" s="4"/>
      <c r="P26" s="4"/>
      <c r="Q26" s="4"/>
      <c r="R26" s="4"/>
      <c r="S26" s="4"/>
    </row>
    <row r="27" ht="19.5" customHeight="1">
      <c r="A27" s="1"/>
      <c r="B27" s="33" t="s">
        <v>37</v>
      </c>
      <c r="C27" s="33" t="s">
        <v>36</v>
      </c>
      <c r="D27" s="38">
        <v>200.0</v>
      </c>
      <c r="E27" s="38">
        <v>0.0</v>
      </c>
      <c r="F27" s="38">
        <f t="shared" si="1"/>
        <v>-200</v>
      </c>
      <c r="G27" s="39">
        <f>IFERROR(D27/SUM(D20:D31),0)</f>
        <v>0.04597701149</v>
      </c>
      <c r="H27" s="40" t="str">
        <f t="shared" si="2"/>
        <v>✅ OK</v>
      </c>
      <c r="I27" s="33"/>
      <c r="J27" s="1"/>
      <c r="K27" s="1"/>
      <c r="L27" s="1"/>
      <c r="M27" s="4"/>
      <c r="N27" s="4"/>
      <c r="O27" s="4"/>
      <c r="P27" s="4"/>
      <c r="Q27" s="4"/>
      <c r="R27" s="4"/>
      <c r="S27" s="4"/>
    </row>
    <row r="28" ht="19.5" customHeight="1">
      <c r="A28" s="1"/>
      <c r="B28" s="34" t="s">
        <v>38</v>
      </c>
      <c r="C28" s="34" t="s">
        <v>28</v>
      </c>
      <c r="D28" s="35">
        <v>0.0</v>
      </c>
      <c r="E28" s="35">
        <v>0.0</v>
      </c>
      <c r="F28" s="35">
        <f t="shared" si="1"/>
        <v>0</v>
      </c>
      <c r="G28" s="36">
        <f>IFERROR(D28/SUM(D20:D31),0)</f>
        <v>0</v>
      </c>
      <c r="H28" s="37" t="str">
        <f t="shared" si="2"/>
        <v>✅ OK</v>
      </c>
      <c r="I28" s="34"/>
      <c r="J28" s="1"/>
      <c r="K28" s="1"/>
      <c r="L28" s="1"/>
      <c r="M28" s="4"/>
      <c r="N28" s="4"/>
      <c r="O28" s="4"/>
      <c r="P28" s="4"/>
      <c r="Q28" s="4"/>
      <c r="R28" s="4"/>
      <c r="S28" s="4"/>
    </row>
    <row r="29" ht="19.5" customHeight="1">
      <c r="A29" s="1"/>
      <c r="B29" s="33" t="s">
        <v>39</v>
      </c>
      <c r="C29" s="33" t="s">
        <v>40</v>
      </c>
      <c r="D29" s="38">
        <v>500.0</v>
      </c>
      <c r="E29" s="38">
        <v>0.0</v>
      </c>
      <c r="F29" s="38">
        <f t="shared" si="1"/>
        <v>-500</v>
      </c>
      <c r="G29" s="39">
        <f>IFERROR(D29/SUM(D20:D31),0)</f>
        <v>0.1149425287</v>
      </c>
      <c r="H29" s="40" t="str">
        <f t="shared" si="2"/>
        <v>✅ OK</v>
      </c>
      <c r="I29" s="33"/>
      <c r="J29" s="1"/>
      <c r="K29" s="1"/>
      <c r="L29" s="1"/>
      <c r="M29" s="4"/>
      <c r="N29" s="4"/>
      <c r="O29" s="4"/>
      <c r="P29" s="4"/>
      <c r="Q29" s="4"/>
      <c r="R29" s="4"/>
      <c r="S29" s="4"/>
    </row>
    <row r="30" ht="19.5" customHeight="1">
      <c r="A30" s="1"/>
      <c r="B30" s="34" t="s">
        <v>41</v>
      </c>
      <c r="C30" s="34" t="s">
        <v>28</v>
      </c>
      <c r="D30" s="35">
        <v>200.0</v>
      </c>
      <c r="E30" s="35">
        <v>0.0</v>
      </c>
      <c r="F30" s="35">
        <f t="shared" si="1"/>
        <v>-200</v>
      </c>
      <c r="G30" s="36">
        <f>IFERROR(D30/SUM(D20:D31),0)</f>
        <v>0.04597701149</v>
      </c>
      <c r="H30" s="37" t="str">
        <f t="shared" si="2"/>
        <v>✅ OK</v>
      </c>
      <c r="I30" s="34"/>
      <c r="J30" s="1"/>
      <c r="K30" s="1"/>
      <c r="L30" s="1"/>
      <c r="M30" s="4"/>
      <c r="N30" s="4"/>
      <c r="O30" s="4"/>
      <c r="P30" s="4"/>
      <c r="Q30" s="4"/>
      <c r="R30" s="4"/>
      <c r="S30" s="4"/>
    </row>
    <row r="31" ht="19.5" customHeight="1">
      <c r="A31" s="1"/>
      <c r="B31" s="33" t="s">
        <v>42</v>
      </c>
      <c r="C31" s="33" t="s">
        <v>32</v>
      </c>
      <c r="D31" s="38">
        <v>100.0</v>
      </c>
      <c r="E31" s="38">
        <v>0.0</v>
      </c>
      <c r="F31" s="38">
        <f t="shared" si="1"/>
        <v>-100</v>
      </c>
      <c r="G31" s="39">
        <f>IFERROR(D31/SUM(D20:D31),0)</f>
        <v>0.02298850575</v>
      </c>
      <c r="H31" s="40" t="str">
        <f t="shared" si="2"/>
        <v>✅ OK</v>
      </c>
      <c r="I31" s="33"/>
      <c r="J31" s="1"/>
      <c r="K31" s="1"/>
      <c r="L31" s="1"/>
      <c r="M31" s="4"/>
      <c r="N31" s="4"/>
      <c r="O31" s="4"/>
      <c r="P31" s="4"/>
      <c r="Q31" s="4"/>
      <c r="R31" s="4"/>
      <c r="S31" s="4"/>
    </row>
    <row r="32" ht="19.5" customHeight="1">
      <c r="A32" s="1"/>
      <c r="B32" s="41" t="s">
        <v>43</v>
      </c>
      <c r="C32" s="42"/>
      <c r="D32" s="43">
        <f t="shared" ref="D32:F32" si="3">SUM(D20:D31)</f>
        <v>4350</v>
      </c>
      <c r="E32" s="43">
        <f t="shared" si="3"/>
        <v>0</v>
      </c>
      <c r="F32" s="43">
        <f t="shared" si="3"/>
        <v>-4350</v>
      </c>
      <c r="G32" s="44"/>
      <c r="H32" s="44"/>
      <c r="I32" s="44"/>
      <c r="J32" s="1"/>
      <c r="K32" s="1"/>
      <c r="L32" s="1"/>
      <c r="M32" s="4"/>
      <c r="N32" s="4"/>
      <c r="O32" s="4"/>
      <c r="P32" s="4"/>
      <c r="Q32" s="4"/>
      <c r="R32" s="4"/>
      <c r="S32" s="4"/>
    </row>
    <row r="33" ht="19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4"/>
      <c r="N33" s="4"/>
      <c r="O33" s="4"/>
      <c r="P33" s="4"/>
      <c r="Q33" s="4"/>
      <c r="R33" s="4"/>
      <c r="S33" s="4"/>
    </row>
    <row r="34" ht="19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4"/>
      <c r="N34" s="4"/>
      <c r="O34" s="4"/>
      <c r="P34" s="4"/>
      <c r="Q34" s="4"/>
      <c r="R34" s="4"/>
      <c r="S34" s="4"/>
    </row>
    <row r="35" ht="19.5" customHeight="1">
      <c r="A35" s="1"/>
      <c r="B35" s="45" t="s">
        <v>44</v>
      </c>
      <c r="C35" s="7"/>
      <c r="D35" s="7"/>
      <c r="E35" s="7"/>
      <c r="F35" s="7"/>
      <c r="G35" s="7"/>
      <c r="H35" s="7"/>
      <c r="I35" s="7"/>
      <c r="J35" s="7"/>
      <c r="K35" s="1"/>
      <c r="L35" s="1"/>
      <c r="M35" s="4"/>
      <c r="N35" s="4"/>
      <c r="O35" s="4"/>
      <c r="P35" s="4"/>
      <c r="Q35" s="4"/>
      <c r="R35" s="4"/>
      <c r="S35" s="4"/>
    </row>
    <row r="36" ht="19.5" customHeight="1">
      <c r="A36" s="1"/>
      <c r="B36" s="46" t="s">
        <v>45</v>
      </c>
      <c r="C36" s="46"/>
      <c r="D36" s="47" t="s">
        <v>46</v>
      </c>
      <c r="E36" s="7"/>
      <c r="F36" s="7"/>
      <c r="G36" s="7"/>
      <c r="H36" s="7"/>
      <c r="I36" s="7"/>
      <c r="J36" s="7"/>
      <c r="K36" s="1"/>
      <c r="L36" s="1"/>
      <c r="M36" s="4"/>
      <c r="N36" s="4"/>
      <c r="O36" s="4"/>
      <c r="P36" s="4"/>
      <c r="Q36" s="4"/>
      <c r="R36" s="4"/>
      <c r="S36" s="4"/>
    </row>
    <row r="37" ht="19.5" customHeight="1">
      <c r="A37" s="1"/>
      <c r="B37" s="46" t="s">
        <v>47</v>
      </c>
      <c r="C37" s="46"/>
      <c r="D37" s="47" t="s">
        <v>48</v>
      </c>
      <c r="E37" s="7"/>
      <c r="F37" s="7"/>
      <c r="G37" s="7"/>
      <c r="H37" s="7"/>
      <c r="I37" s="7"/>
      <c r="J37" s="7"/>
      <c r="K37" s="1"/>
      <c r="L37" s="1"/>
      <c r="M37" s="4"/>
      <c r="N37" s="4"/>
      <c r="O37" s="4"/>
      <c r="P37" s="4"/>
      <c r="Q37" s="4"/>
      <c r="R37" s="4"/>
      <c r="S37" s="4"/>
    </row>
    <row r="38" ht="19.5" customHeight="1">
      <c r="A38" s="1"/>
      <c r="B38" s="46" t="s">
        <v>49</v>
      </c>
      <c r="C38" s="46"/>
      <c r="D38" s="47" t="s">
        <v>50</v>
      </c>
      <c r="E38" s="7"/>
      <c r="F38" s="7"/>
      <c r="G38" s="7"/>
      <c r="H38" s="7"/>
      <c r="I38" s="7"/>
      <c r="J38" s="7"/>
      <c r="K38" s="1"/>
      <c r="L38" s="1"/>
      <c r="M38" s="4"/>
      <c r="N38" s="4"/>
      <c r="O38" s="4"/>
      <c r="P38" s="4"/>
      <c r="Q38" s="4"/>
      <c r="R38" s="4"/>
      <c r="S38" s="4"/>
    </row>
    <row r="39" ht="19.5" customHeight="1">
      <c r="A39" s="1"/>
      <c r="B39" s="46"/>
      <c r="C39" s="46"/>
      <c r="D39" s="46"/>
      <c r="E39" s="46"/>
      <c r="F39" s="46"/>
      <c r="G39" s="46"/>
      <c r="H39" s="46"/>
      <c r="I39" s="46"/>
      <c r="J39" s="1"/>
      <c r="K39" s="1"/>
      <c r="L39" s="1"/>
      <c r="M39" s="4"/>
      <c r="N39" s="4"/>
      <c r="O39" s="4"/>
      <c r="P39" s="4"/>
      <c r="Q39" s="4"/>
      <c r="R39" s="4"/>
      <c r="S39" s="4"/>
    </row>
    <row r="40" ht="19.5" customHeight="1">
      <c r="A40" s="1"/>
      <c r="B40" s="46"/>
      <c r="C40" s="46"/>
      <c r="D40" s="46"/>
      <c r="E40" s="46"/>
      <c r="F40" s="46"/>
      <c r="G40" s="46"/>
      <c r="H40" s="46"/>
      <c r="I40" s="46"/>
      <c r="J40" s="1"/>
      <c r="K40" s="1"/>
      <c r="L40" s="1"/>
      <c r="M40" s="4"/>
      <c r="N40" s="4"/>
      <c r="O40" s="4"/>
      <c r="P40" s="4"/>
      <c r="Q40" s="4"/>
      <c r="R40" s="4"/>
      <c r="S40" s="4"/>
    </row>
    <row r="41" ht="19.5" customHeight="1">
      <c r="A41" s="4"/>
      <c r="B41" s="4"/>
      <c r="C41" s="4"/>
      <c r="D41" s="4"/>
      <c r="E41" s="48"/>
      <c r="F41" s="48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9.5" customHeight="1">
      <c r="A42" s="4"/>
      <c r="B42" s="4"/>
      <c r="C42" s="4"/>
      <c r="D42" s="4"/>
      <c r="E42" s="48"/>
      <c r="F42" s="48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9.5" customHeight="1">
      <c r="A43" s="4"/>
      <c r="B43" s="4"/>
      <c r="C43" s="4"/>
      <c r="D43" s="4"/>
      <c r="E43" s="48"/>
      <c r="F43" s="48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9.5" customHeight="1">
      <c r="A44" s="4"/>
      <c r="B44" s="4"/>
      <c r="C44" s="4"/>
      <c r="D44" s="4"/>
      <c r="E44" s="48"/>
      <c r="F44" s="48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9.5" customHeight="1">
      <c r="A45" s="4"/>
      <c r="B45" s="4"/>
      <c r="C45" s="4"/>
      <c r="D45" s="4"/>
      <c r="E45" s="48"/>
      <c r="F45" s="48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 ht="19.5" customHeight="1">
      <c r="A46" s="4"/>
      <c r="B46" s="4"/>
      <c r="C46" s="4"/>
      <c r="D46" s="4"/>
      <c r="E46" s="48"/>
      <c r="F46" s="48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 ht="19.5" customHeight="1">
      <c r="A47" s="4"/>
      <c r="B47" s="4"/>
      <c r="C47" s="4"/>
      <c r="D47" s="4"/>
      <c r="E47" s="48"/>
      <c r="F47" s="48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 ht="19.5" customHeight="1">
      <c r="A48" s="4"/>
      <c r="B48" s="4"/>
      <c r="C48" s="4"/>
      <c r="D48" s="4"/>
      <c r="E48" s="48"/>
      <c r="F48" s="48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 ht="19.5" customHeight="1">
      <c r="A49" s="4"/>
      <c r="B49" s="4"/>
      <c r="C49" s="4"/>
      <c r="D49" s="4"/>
      <c r="E49" s="48"/>
      <c r="F49" s="48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 ht="19.5" customHeight="1">
      <c r="A50" s="4"/>
      <c r="B50" s="4"/>
      <c r="C50" s="4"/>
      <c r="D50" s="4"/>
      <c r="E50" s="48"/>
      <c r="F50" s="48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 ht="19.5" customHeight="1">
      <c r="A51" s="4"/>
      <c r="B51" s="4"/>
      <c r="C51" s="4"/>
      <c r="D51" s="4"/>
      <c r="E51" s="48"/>
      <c r="F51" s="48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 ht="19.5" customHeight="1">
      <c r="A52" s="4"/>
      <c r="B52" s="4"/>
      <c r="C52" s="4"/>
      <c r="D52" s="4"/>
      <c r="E52" s="48"/>
      <c r="F52" s="48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 ht="19.5" customHeight="1">
      <c r="A53" s="4"/>
      <c r="B53" s="4"/>
      <c r="C53" s="4"/>
      <c r="D53" s="4"/>
      <c r="E53" s="48"/>
      <c r="F53" s="48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 ht="19.5" customHeight="1">
      <c r="A54" s="4"/>
      <c r="B54" s="4"/>
      <c r="C54" s="4"/>
      <c r="D54" s="4"/>
      <c r="E54" s="48"/>
      <c r="F54" s="48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 ht="19.5" customHeight="1">
      <c r="A55" s="4"/>
      <c r="B55" s="4"/>
      <c r="C55" s="4"/>
      <c r="D55" s="4"/>
      <c r="E55" s="48"/>
      <c r="F55" s="48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 ht="19.5" customHeight="1">
      <c r="A56" s="4"/>
      <c r="B56" s="4"/>
      <c r="C56" s="4"/>
      <c r="D56" s="4"/>
      <c r="E56" s="48"/>
      <c r="F56" s="48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 ht="19.5" customHeight="1">
      <c r="A57" s="4"/>
      <c r="B57" s="4"/>
      <c r="C57" s="4"/>
      <c r="D57" s="4"/>
      <c r="E57" s="48"/>
      <c r="F57" s="48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 ht="19.5" customHeight="1">
      <c r="A58" s="4"/>
      <c r="B58" s="4"/>
      <c r="C58" s="4"/>
      <c r="D58" s="4"/>
      <c r="E58" s="48"/>
      <c r="F58" s="48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 ht="19.5" customHeight="1">
      <c r="A59" s="4"/>
      <c r="B59" s="4"/>
      <c r="C59" s="4"/>
      <c r="D59" s="4"/>
      <c r="E59" s="48"/>
      <c r="F59" s="48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 ht="19.5" customHeight="1">
      <c r="A60" s="4"/>
      <c r="B60" s="4"/>
      <c r="C60" s="4"/>
      <c r="D60" s="4"/>
      <c r="E60" s="48"/>
      <c r="F60" s="48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 ht="19.5" customHeight="1">
      <c r="A61" s="4"/>
      <c r="B61" s="4"/>
      <c r="C61" s="4"/>
      <c r="D61" s="4"/>
      <c r="E61" s="48"/>
      <c r="F61" s="48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 ht="19.5" customHeight="1">
      <c r="A62" s="4"/>
      <c r="B62" s="4"/>
      <c r="C62" s="4"/>
      <c r="D62" s="4"/>
      <c r="E62" s="48"/>
      <c r="F62" s="48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 ht="19.5" customHeight="1">
      <c r="A63" s="4"/>
      <c r="B63" s="4"/>
      <c r="C63" s="4"/>
      <c r="D63" s="4"/>
      <c r="E63" s="48"/>
      <c r="F63" s="48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 ht="19.5" customHeight="1">
      <c r="A64" s="4"/>
      <c r="B64" s="4"/>
      <c r="C64" s="4"/>
      <c r="D64" s="4"/>
      <c r="E64" s="48"/>
      <c r="F64" s="48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 ht="19.5" customHeight="1">
      <c r="A65" s="4"/>
      <c r="B65" s="4"/>
      <c r="C65" s="4"/>
      <c r="D65" s="4"/>
      <c r="E65" s="48"/>
      <c r="F65" s="48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 ht="19.5" customHeight="1">
      <c r="A66" s="4"/>
      <c r="B66" s="4"/>
      <c r="C66" s="4"/>
      <c r="D66" s="4"/>
      <c r="E66" s="48"/>
      <c r="F66" s="48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 ht="19.5" customHeight="1">
      <c r="A67" s="4"/>
      <c r="B67" s="4"/>
      <c r="C67" s="4"/>
      <c r="D67" s="4"/>
      <c r="E67" s="48"/>
      <c r="F67" s="48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 ht="19.5" customHeight="1">
      <c r="A68" s="4"/>
      <c r="B68" s="4"/>
      <c r="C68" s="4"/>
      <c r="D68" s="4"/>
      <c r="E68" s="48"/>
      <c r="F68" s="48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 ht="19.5" customHeight="1">
      <c r="A69" s="4"/>
      <c r="B69" s="4"/>
      <c r="C69" s="4"/>
      <c r="D69" s="4"/>
      <c r="E69" s="48"/>
      <c r="F69" s="48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 ht="19.5" customHeight="1">
      <c r="A70" s="4"/>
      <c r="B70" s="4"/>
      <c r="C70" s="4"/>
      <c r="D70" s="4"/>
      <c r="E70" s="48"/>
      <c r="F70" s="48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 ht="19.5" customHeight="1">
      <c r="A71" s="4"/>
      <c r="B71" s="4"/>
      <c r="C71" s="4"/>
      <c r="D71" s="4"/>
      <c r="E71" s="48"/>
      <c r="F71" s="48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 ht="19.5" customHeight="1">
      <c r="A72" s="4"/>
      <c r="B72" s="4"/>
      <c r="C72" s="4"/>
      <c r="D72" s="4"/>
      <c r="E72" s="48"/>
      <c r="F72" s="48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 ht="19.5" customHeight="1">
      <c r="A73" s="4"/>
      <c r="B73" s="4"/>
      <c r="C73" s="4"/>
      <c r="D73" s="4"/>
      <c r="E73" s="48"/>
      <c r="F73" s="48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 ht="19.5" customHeight="1">
      <c r="A74" s="4"/>
      <c r="B74" s="4"/>
      <c r="C74" s="4"/>
      <c r="D74" s="4"/>
      <c r="E74" s="48"/>
      <c r="F74" s="48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 ht="19.5" customHeight="1">
      <c r="A75" s="4"/>
      <c r="B75" s="4"/>
      <c r="C75" s="4"/>
      <c r="D75" s="4"/>
      <c r="E75" s="48"/>
      <c r="F75" s="48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 ht="19.5" customHeight="1">
      <c r="A76" s="4"/>
      <c r="B76" s="4"/>
      <c r="C76" s="4"/>
      <c r="D76" s="4"/>
      <c r="E76" s="48"/>
      <c r="F76" s="48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 ht="19.5" customHeight="1">
      <c r="A77" s="4"/>
      <c r="B77" s="4"/>
      <c r="C77" s="4"/>
      <c r="D77" s="4"/>
      <c r="E77" s="48"/>
      <c r="F77" s="48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 ht="19.5" customHeight="1">
      <c r="A78" s="4"/>
      <c r="B78" s="4"/>
      <c r="C78" s="4"/>
      <c r="D78" s="4"/>
      <c r="E78" s="48"/>
      <c r="F78" s="48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 ht="19.5" customHeight="1">
      <c r="A79" s="4"/>
      <c r="B79" s="4"/>
      <c r="C79" s="4"/>
      <c r="D79" s="4"/>
      <c r="E79" s="48"/>
      <c r="F79" s="48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 ht="15.75" customHeight="1">
      <c r="A80" s="4"/>
      <c r="B80" s="4"/>
      <c r="C80" s="4"/>
      <c r="D80" s="4"/>
      <c r="E80" s="48"/>
      <c r="F80" s="48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 ht="15.75" customHeight="1">
      <c r="A81" s="4"/>
      <c r="B81" s="4"/>
      <c r="C81" s="4"/>
      <c r="D81" s="4"/>
      <c r="E81" s="48"/>
      <c r="F81" s="48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 ht="15.75" customHeight="1">
      <c r="A82" s="4"/>
      <c r="B82" s="4"/>
      <c r="C82" s="4"/>
      <c r="D82" s="4"/>
      <c r="E82" s="48"/>
      <c r="F82" s="48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 ht="15.75" customHeight="1">
      <c r="A83" s="4"/>
      <c r="B83" s="4"/>
      <c r="C83" s="4"/>
      <c r="D83" s="4"/>
      <c r="E83" s="48"/>
      <c r="F83" s="48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 ht="15.75" customHeight="1">
      <c r="A84" s="4"/>
      <c r="B84" s="4"/>
      <c r="C84" s="4"/>
      <c r="D84" s="4"/>
      <c r="E84" s="48"/>
      <c r="F84" s="48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 ht="15.75" customHeight="1">
      <c r="A85" s="4"/>
      <c r="B85" s="4"/>
      <c r="C85" s="4"/>
      <c r="D85" s="4"/>
      <c r="E85" s="48"/>
      <c r="F85" s="48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 ht="15.75" customHeight="1">
      <c r="A86" s="4"/>
      <c r="B86" s="4"/>
      <c r="C86" s="4"/>
      <c r="D86" s="4"/>
      <c r="E86" s="48"/>
      <c r="F86" s="48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 ht="15.75" customHeight="1">
      <c r="A87" s="4"/>
      <c r="B87" s="4"/>
      <c r="C87" s="4"/>
      <c r="D87" s="4"/>
      <c r="E87" s="48"/>
      <c r="F87" s="48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 ht="15.75" customHeight="1">
      <c r="A88" s="4"/>
      <c r="B88" s="4"/>
      <c r="C88" s="4"/>
      <c r="D88" s="4"/>
      <c r="E88" s="48"/>
      <c r="F88" s="48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 ht="15.75" customHeight="1">
      <c r="A89" s="4"/>
      <c r="B89" s="4"/>
      <c r="C89" s="4"/>
      <c r="D89" s="4"/>
      <c r="E89" s="48"/>
      <c r="F89" s="48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 ht="15.75" customHeight="1">
      <c r="A90" s="4"/>
      <c r="B90" s="4"/>
      <c r="C90" s="4"/>
      <c r="D90" s="4"/>
      <c r="E90" s="48"/>
      <c r="F90" s="48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 ht="15.75" customHeight="1">
      <c r="A91" s="4"/>
      <c r="B91" s="4"/>
      <c r="C91" s="4"/>
      <c r="D91" s="4"/>
      <c r="E91" s="48"/>
      <c r="F91" s="48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 ht="15.75" customHeight="1">
      <c r="A92" s="4"/>
      <c r="B92" s="4"/>
      <c r="C92" s="4"/>
      <c r="D92" s="4"/>
      <c r="E92" s="48"/>
      <c r="F92" s="48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 ht="15.75" customHeight="1">
      <c r="A93" s="4"/>
      <c r="B93" s="4"/>
      <c r="C93" s="4"/>
      <c r="D93" s="4"/>
      <c r="E93" s="48"/>
      <c r="F93" s="48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 ht="15.75" customHeight="1">
      <c r="A94" s="4"/>
      <c r="B94" s="4"/>
      <c r="C94" s="4"/>
      <c r="D94" s="4"/>
      <c r="E94" s="48"/>
      <c r="F94" s="48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 ht="15.75" customHeight="1">
      <c r="A95" s="4"/>
      <c r="B95" s="4"/>
      <c r="C95" s="4"/>
      <c r="D95" s="4"/>
      <c r="E95" s="48"/>
      <c r="F95" s="48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 ht="15.75" customHeight="1">
      <c r="A96" s="4"/>
      <c r="B96" s="4"/>
      <c r="C96" s="4"/>
      <c r="D96" s="4"/>
      <c r="E96" s="48"/>
      <c r="F96" s="48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 ht="15.75" customHeight="1">
      <c r="A97" s="4"/>
      <c r="B97" s="4"/>
      <c r="C97" s="4"/>
      <c r="D97" s="4"/>
      <c r="E97" s="48"/>
      <c r="F97" s="48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 ht="15.75" customHeight="1">
      <c r="A98" s="4"/>
      <c r="B98" s="4"/>
      <c r="C98" s="4"/>
      <c r="D98" s="4"/>
      <c r="E98" s="48"/>
      <c r="F98" s="48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 ht="15.75" customHeight="1">
      <c r="A99" s="4"/>
      <c r="B99" s="4"/>
      <c r="C99" s="4"/>
      <c r="D99" s="4"/>
      <c r="E99" s="48"/>
      <c r="F99" s="48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 ht="15.75" customHeight="1">
      <c r="A100" s="4"/>
      <c r="B100" s="4"/>
      <c r="C100" s="4"/>
      <c r="D100" s="4"/>
      <c r="E100" s="48"/>
      <c r="F100" s="48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 ht="15.75" customHeight="1">
      <c r="A101" s="4"/>
      <c r="B101" s="4"/>
      <c r="C101" s="4"/>
      <c r="D101" s="4"/>
      <c r="E101" s="48"/>
      <c r="F101" s="48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 ht="15.75" customHeight="1">
      <c r="A102" s="4"/>
      <c r="B102" s="4"/>
      <c r="C102" s="4"/>
      <c r="D102" s="4"/>
      <c r="E102" s="48"/>
      <c r="F102" s="48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 ht="15.75" customHeight="1">
      <c r="A103" s="4"/>
      <c r="B103" s="4"/>
      <c r="C103" s="4"/>
      <c r="D103" s="4"/>
      <c r="E103" s="48"/>
      <c r="F103" s="48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 ht="15.75" customHeight="1">
      <c r="A104" s="4"/>
      <c r="B104" s="4"/>
      <c r="C104" s="4"/>
      <c r="D104" s="4"/>
      <c r="E104" s="48"/>
      <c r="F104" s="48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 ht="15.75" customHeight="1">
      <c r="A105" s="4"/>
      <c r="B105" s="4"/>
      <c r="C105" s="4"/>
      <c r="D105" s="4"/>
      <c r="E105" s="48"/>
      <c r="F105" s="48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 ht="15.75" customHeight="1">
      <c r="A106" s="4"/>
      <c r="B106" s="4"/>
      <c r="C106" s="4"/>
      <c r="D106" s="4"/>
      <c r="E106" s="48"/>
      <c r="F106" s="48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 ht="15.75" customHeight="1">
      <c r="A107" s="4"/>
      <c r="B107" s="4"/>
      <c r="C107" s="4"/>
      <c r="D107" s="4"/>
      <c r="E107" s="48"/>
      <c r="F107" s="48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 ht="15.75" customHeight="1">
      <c r="A108" s="4"/>
      <c r="B108" s="4"/>
      <c r="C108" s="4"/>
      <c r="D108" s="4"/>
      <c r="E108" s="48"/>
      <c r="F108" s="48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 ht="15.75" customHeight="1">
      <c r="A109" s="4"/>
      <c r="B109" s="4"/>
      <c r="C109" s="4"/>
      <c r="D109" s="4"/>
      <c r="E109" s="48"/>
      <c r="F109" s="48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 ht="15.75" customHeight="1">
      <c r="A110" s="4"/>
      <c r="B110" s="4"/>
      <c r="C110" s="4"/>
      <c r="D110" s="4"/>
      <c r="E110" s="48"/>
      <c r="F110" s="48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 ht="15.75" customHeight="1">
      <c r="A111" s="4"/>
      <c r="B111" s="4"/>
      <c r="C111" s="4"/>
      <c r="D111" s="4"/>
      <c r="E111" s="48"/>
      <c r="F111" s="48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 ht="15.75" customHeight="1">
      <c r="A112" s="4"/>
      <c r="B112" s="4"/>
      <c r="C112" s="4"/>
      <c r="D112" s="4"/>
      <c r="E112" s="48"/>
      <c r="F112" s="48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 ht="15.75" customHeight="1">
      <c r="A113" s="4"/>
      <c r="B113" s="4"/>
      <c r="C113" s="4"/>
      <c r="D113" s="4"/>
      <c r="E113" s="48"/>
      <c r="F113" s="48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 ht="15.75" customHeight="1">
      <c r="A114" s="4"/>
      <c r="B114" s="4"/>
      <c r="C114" s="4"/>
      <c r="D114" s="4"/>
      <c r="E114" s="48"/>
      <c r="F114" s="48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 ht="15.75" customHeight="1">
      <c r="A115" s="4"/>
      <c r="B115" s="4"/>
      <c r="C115" s="4"/>
      <c r="D115" s="4"/>
      <c r="E115" s="48"/>
      <c r="F115" s="48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 ht="15.75" customHeight="1">
      <c r="A116" s="4"/>
      <c r="B116" s="4"/>
      <c r="C116" s="4"/>
      <c r="D116" s="4"/>
      <c r="E116" s="48"/>
      <c r="F116" s="48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 ht="15.75" customHeight="1">
      <c r="A117" s="4"/>
      <c r="B117" s="4"/>
      <c r="C117" s="4"/>
      <c r="D117" s="4"/>
      <c r="E117" s="48"/>
      <c r="F117" s="48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 ht="15.75" customHeight="1">
      <c r="A118" s="4"/>
      <c r="B118" s="4"/>
      <c r="C118" s="4"/>
      <c r="D118" s="4"/>
      <c r="E118" s="48"/>
      <c r="F118" s="48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 ht="15.75" customHeight="1">
      <c r="A119" s="4"/>
      <c r="B119" s="4"/>
      <c r="C119" s="4"/>
      <c r="D119" s="4"/>
      <c r="E119" s="48"/>
      <c r="F119" s="48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 ht="15.75" customHeight="1">
      <c r="A120" s="4"/>
      <c r="B120" s="4"/>
      <c r="C120" s="4"/>
      <c r="D120" s="4"/>
      <c r="E120" s="48"/>
      <c r="F120" s="48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 ht="15.75" customHeight="1">
      <c r="A121" s="4"/>
      <c r="B121" s="4"/>
      <c r="C121" s="4"/>
      <c r="D121" s="4"/>
      <c r="E121" s="48"/>
      <c r="F121" s="48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 ht="15.75" customHeight="1">
      <c r="A122" s="4"/>
      <c r="B122" s="4"/>
      <c r="C122" s="4"/>
      <c r="D122" s="4"/>
      <c r="E122" s="48"/>
      <c r="F122" s="48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 ht="15.75" customHeight="1">
      <c r="A123" s="4"/>
      <c r="B123" s="4"/>
      <c r="C123" s="4"/>
      <c r="D123" s="4"/>
      <c r="E123" s="48"/>
      <c r="F123" s="48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 ht="15.75" customHeight="1">
      <c r="A124" s="4"/>
      <c r="B124" s="4"/>
      <c r="C124" s="4"/>
      <c r="D124" s="4"/>
      <c r="E124" s="48"/>
      <c r="F124" s="48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 ht="15.75" customHeight="1">
      <c r="A125" s="4"/>
      <c r="B125" s="4"/>
      <c r="C125" s="4"/>
      <c r="D125" s="4"/>
      <c r="E125" s="48"/>
      <c r="F125" s="48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 ht="15.75" customHeight="1">
      <c r="A126" s="4"/>
      <c r="B126" s="4"/>
      <c r="C126" s="4"/>
      <c r="D126" s="4"/>
      <c r="E126" s="48"/>
      <c r="F126" s="48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 ht="15.75" customHeight="1">
      <c r="A127" s="4"/>
      <c r="B127" s="4"/>
      <c r="C127" s="4"/>
      <c r="D127" s="4"/>
      <c r="E127" s="48"/>
      <c r="F127" s="48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 ht="15.75" customHeight="1">
      <c r="A128" s="4"/>
      <c r="B128" s="4"/>
      <c r="C128" s="4"/>
      <c r="D128" s="4"/>
      <c r="E128" s="48"/>
      <c r="F128" s="48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 ht="15.75" customHeight="1">
      <c r="A129" s="4"/>
      <c r="B129" s="4"/>
      <c r="C129" s="4"/>
      <c r="D129" s="4"/>
      <c r="E129" s="48"/>
      <c r="F129" s="48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 ht="15.75" customHeight="1">
      <c r="A130" s="4"/>
      <c r="B130" s="4"/>
      <c r="C130" s="4"/>
      <c r="D130" s="4"/>
      <c r="E130" s="48"/>
      <c r="F130" s="48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 ht="15.75" customHeight="1">
      <c r="A131" s="4"/>
      <c r="B131" s="4"/>
      <c r="C131" s="4"/>
      <c r="D131" s="4"/>
      <c r="E131" s="48"/>
      <c r="F131" s="48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 ht="15.75" customHeight="1">
      <c r="A132" s="4"/>
      <c r="B132" s="4"/>
      <c r="C132" s="4"/>
      <c r="D132" s="4"/>
      <c r="E132" s="48"/>
      <c r="F132" s="48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 ht="15.75" customHeight="1">
      <c r="A133" s="4"/>
      <c r="B133" s="4"/>
      <c r="C133" s="4"/>
      <c r="D133" s="4"/>
      <c r="E133" s="48"/>
      <c r="F133" s="48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 ht="15.75" customHeight="1">
      <c r="A134" s="4"/>
      <c r="B134" s="4"/>
      <c r="C134" s="4"/>
      <c r="D134" s="4"/>
      <c r="E134" s="48"/>
      <c r="F134" s="48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 ht="15.75" customHeight="1">
      <c r="A135" s="4"/>
      <c r="B135" s="4"/>
      <c r="C135" s="4"/>
      <c r="D135" s="4"/>
      <c r="E135" s="48"/>
      <c r="F135" s="48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 ht="15.75" customHeight="1">
      <c r="A136" s="4"/>
      <c r="B136" s="4"/>
      <c r="C136" s="4"/>
      <c r="D136" s="4"/>
      <c r="E136" s="48"/>
      <c r="F136" s="48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 ht="15.75" customHeight="1">
      <c r="A137" s="4"/>
      <c r="B137" s="4"/>
      <c r="C137" s="4"/>
      <c r="D137" s="4"/>
      <c r="E137" s="48"/>
      <c r="F137" s="48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 ht="15.75" customHeight="1">
      <c r="A138" s="4"/>
      <c r="B138" s="4"/>
      <c r="C138" s="4"/>
      <c r="D138" s="4"/>
      <c r="E138" s="48"/>
      <c r="F138" s="48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 ht="15.75" customHeight="1">
      <c r="A139" s="4"/>
      <c r="B139" s="4"/>
      <c r="C139" s="4"/>
      <c r="D139" s="4"/>
      <c r="E139" s="48"/>
      <c r="F139" s="48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 ht="15.75" customHeight="1">
      <c r="A140" s="4"/>
      <c r="B140" s="4"/>
      <c r="C140" s="4"/>
      <c r="D140" s="4"/>
      <c r="E140" s="48"/>
      <c r="F140" s="48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 ht="15.75" customHeight="1">
      <c r="A141" s="4"/>
      <c r="B141" s="4"/>
      <c r="C141" s="4"/>
      <c r="D141" s="4"/>
      <c r="E141" s="48"/>
      <c r="F141" s="48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 ht="15.75" customHeight="1">
      <c r="A142" s="4"/>
      <c r="B142" s="4"/>
      <c r="C142" s="4"/>
      <c r="D142" s="4"/>
      <c r="E142" s="48"/>
      <c r="F142" s="48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 ht="15.75" customHeight="1">
      <c r="A143" s="4"/>
      <c r="B143" s="4"/>
      <c r="C143" s="4"/>
      <c r="D143" s="4"/>
      <c r="E143" s="48"/>
      <c r="F143" s="48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 ht="15.75" customHeight="1">
      <c r="A144" s="4"/>
      <c r="B144" s="4"/>
      <c r="C144" s="4"/>
      <c r="D144" s="4"/>
      <c r="E144" s="48"/>
      <c r="F144" s="48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 ht="15.75" customHeight="1">
      <c r="A145" s="4"/>
      <c r="B145" s="4"/>
      <c r="C145" s="4"/>
      <c r="D145" s="4"/>
      <c r="E145" s="48"/>
      <c r="F145" s="48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 ht="15.75" customHeight="1">
      <c r="A146" s="4"/>
      <c r="B146" s="4"/>
      <c r="C146" s="4"/>
      <c r="D146" s="4"/>
      <c r="E146" s="48"/>
      <c r="F146" s="48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 ht="15.75" customHeight="1">
      <c r="A147" s="4"/>
      <c r="B147" s="4"/>
      <c r="C147" s="4"/>
      <c r="D147" s="4"/>
      <c r="E147" s="48"/>
      <c r="F147" s="48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 ht="15.75" customHeight="1">
      <c r="A148" s="4"/>
      <c r="B148" s="4"/>
      <c r="C148" s="4"/>
      <c r="D148" s="4"/>
      <c r="E148" s="48"/>
      <c r="F148" s="48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 ht="15.75" customHeight="1">
      <c r="A149" s="4"/>
      <c r="B149" s="4"/>
      <c r="C149" s="4"/>
      <c r="D149" s="4"/>
      <c r="E149" s="48"/>
      <c r="F149" s="48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 ht="15.75" customHeight="1">
      <c r="A150" s="4"/>
      <c r="B150" s="4"/>
      <c r="C150" s="4"/>
      <c r="D150" s="4"/>
      <c r="E150" s="48"/>
      <c r="F150" s="48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 ht="15.75" customHeight="1">
      <c r="A151" s="4"/>
      <c r="B151" s="4"/>
      <c r="C151" s="4"/>
      <c r="D151" s="4"/>
      <c r="E151" s="48"/>
      <c r="F151" s="48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 ht="15.75" customHeight="1">
      <c r="A152" s="4"/>
      <c r="B152" s="4"/>
      <c r="C152" s="4"/>
      <c r="D152" s="4"/>
      <c r="E152" s="48"/>
      <c r="F152" s="48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 ht="15.75" customHeight="1">
      <c r="A153" s="4"/>
      <c r="B153" s="4"/>
      <c r="C153" s="4"/>
      <c r="D153" s="4"/>
      <c r="E153" s="48"/>
      <c r="F153" s="48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 ht="15.75" customHeight="1">
      <c r="A154" s="4"/>
      <c r="B154" s="4"/>
      <c r="C154" s="4"/>
      <c r="D154" s="4"/>
      <c r="E154" s="48"/>
      <c r="F154" s="48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 ht="15.75" customHeight="1">
      <c r="A155" s="4"/>
      <c r="B155" s="4"/>
      <c r="C155" s="4"/>
      <c r="D155" s="4"/>
      <c r="E155" s="48"/>
      <c r="F155" s="48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 ht="15.75" customHeight="1">
      <c r="A156" s="4"/>
      <c r="B156" s="4"/>
      <c r="C156" s="4"/>
      <c r="D156" s="4"/>
      <c r="E156" s="48"/>
      <c r="F156" s="48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 ht="15.75" customHeight="1">
      <c r="A157" s="4"/>
      <c r="B157" s="4"/>
      <c r="C157" s="4"/>
      <c r="D157" s="4"/>
      <c r="E157" s="48"/>
      <c r="F157" s="48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 ht="15.75" customHeight="1">
      <c r="A158" s="4"/>
      <c r="B158" s="4"/>
      <c r="C158" s="4"/>
      <c r="D158" s="4"/>
      <c r="E158" s="48"/>
      <c r="F158" s="48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 ht="15.75" customHeight="1">
      <c r="A159" s="4"/>
      <c r="B159" s="4"/>
      <c r="C159" s="4"/>
      <c r="D159" s="4"/>
      <c r="E159" s="48"/>
      <c r="F159" s="48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 ht="15.75" customHeight="1">
      <c r="A160" s="4"/>
      <c r="B160" s="4"/>
      <c r="C160" s="4"/>
      <c r="D160" s="4"/>
      <c r="E160" s="48"/>
      <c r="F160" s="48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 ht="15.75" customHeight="1">
      <c r="A161" s="4"/>
      <c r="B161" s="4"/>
      <c r="C161" s="4"/>
      <c r="D161" s="4"/>
      <c r="E161" s="48"/>
      <c r="F161" s="48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 ht="15.75" customHeight="1">
      <c r="A162" s="4"/>
      <c r="B162" s="4"/>
      <c r="C162" s="4"/>
      <c r="D162" s="4"/>
      <c r="E162" s="48"/>
      <c r="F162" s="48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 ht="15.75" customHeight="1">
      <c r="A163" s="4"/>
      <c r="B163" s="4"/>
      <c r="C163" s="4"/>
      <c r="D163" s="4"/>
      <c r="E163" s="48"/>
      <c r="F163" s="48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 ht="15.75" customHeight="1">
      <c r="A164" s="4"/>
      <c r="B164" s="4"/>
      <c r="C164" s="4"/>
      <c r="D164" s="4"/>
      <c r="E164" s="48"/>
      <c r="F164" s="48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 ht="15.75" customHeight="1">
      <c r="A165" s="4"/>
      <c r="B165" s="4"/>
      <c r="C165" s="4"/>
      <c r="D165" s="4"/>
      <c r="E165" s="48"/>
      <c r="F165" s="48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 ht="15.75" customHeight="1">
      <c r="A166" s="4"/>
      <c r="B166" s="4"/>
      <c r="C166" s="4"/>
      <c r="D166" s="4"/>
      <c r="E166" s="48"/>
      <c r="F166" s="48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 ht="15.75" customHeight="1">
      <c r="A167" s="4"/>
      <c r="B167" s="4"/>
      <c r="C167" s="4"/>
      <c r="D167" s="4"/>
      <c r="E167" s="48"/>
      <c r="F167" s="48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 ht="15.75" customHeight="1">
      <c r="A168" s="4"/>
      <c r="B168" s="4"/>
      <c r="C168" s="4"/>
      <c r="D168" s="4"/>
      <c r="E168" s="48"/>
      <c r="F168" s="48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 ht="15.75" customHeight="1">
      <c r="A169" s="4"/>
      <c r="B169" s="4"/>
      <c r="C169" s="4"/>
      <c r="D169" s="4"/>
      <c r="E169" s="48"/>
      <c r="F169" s="48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 ht="15.75" customHeight="1">
      <c r="A170" s="4"/>
      <c r="B170" s="4"/>
      <c r="C170" s="4"/>
      <c r="D170" s="4"/>
      <c r="E170" s="48"/>
      <c r="F170" s="48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 ht="15.75" customHeight="1">
      <c r="A171" s="4"/>
      <c r="B171" s="4"/>
      <c r="C171" s="4"/>
      <c r="D171" s="4"/>
      <c r="E171" s="48"/>
      <c r="F171" s="48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 ht="15.75" customHeight="1">
      <c r="A172" s="4"/>
      <c r="B172" s="4"/>
      <c r="C172" s="4"/>
      <c r="D172" s="4"/>
      <c r="E172" s="48"/>
      <c r="F172" s="48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 ht="15.75" customHeight="1">
      <c r="A173" s="4"/>
      <c r="B173" s="4"/>
      <c r="C173" s="4"/>
      <c r="D173" s="4"/>
      <c r="E173" s="48"/>
      <c r="F173" s="48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 ht="15.75" customHeight="1">
      <c r="A174" s="4"/>
      <c r="B174" s="4"/>
      <c r="C174" s="4"/>
      <c r="D174" s="4"/>
      <c r="E174" s="48"/>
      <c r="F174" s="48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 ht="15.75" customHeight="1">
      <c r="A175" s="4"/>
      <c r="B175" s="4"/>
      <c r="C175" s="4"/>
      <c r="D175" s="4"/>
      <c r="E175" s="48"/>
      <c r="F175" s="48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 ht="15.75" customHeight="1">
      <c r="A176" s="4"/>
      <c r="B176" s="4"/>
      <c r="C176" s="4"/>
      <c r="D176" s="4"/>
      <c r="E176" s="48"/>
      <c r="F176" s="48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 ht="15.75" customHeight="1">
      <c r="A177" s="4"/>
      <c r="B177" s="4"/>
      <c r="C177" s="4"/>
      <c r="D177" s="4"/>
      <c r="E177" s="48"/>
      <c r="F177" s="48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 ht="15.75" customHeight="1">
      <c r="A178" s="4"/>
      <c r="B178" s="4"/>
      <c r="C178" s="4"/>
      <c r="D178" s="4"/>
      <c r="E178" s="48"/>
      <c r="F178" s="48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 ht="15.75" customHeight="1">
      <c r="A179" s="4"/>
      <c r="B179" s="4"/>
      <c r="C179" s="4"/>
      <c r="D179" s="4"/>
      <c r="E179" s="48"/>
      <c r="F179" s="48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 ht="15.75" customHeight="1">
      <c r="A180" s="4"/>
      <c r="B180" s="4"/>
      <c r="C180" s="4"/>
      <c r="D180" s="4"/>
      <c r="E180" s="48"/>
      <c r="F180" s="48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 ht="15.75" customHeight="1">
      <c r="A181" s="4"/>
      <c r="B181" s="4"/>
      <c r="C181" s="4"/>
      <c r="D181" s="4"/>
      <c r="E181" s="48"/>
      <c r="F181" s="48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 ht="15.75" customHeight="1">
      <c r="A182" s="4"/>
      <c r="B182" s="4"/>
      <c r="C182" s="4"/>
      <c r="D182" s="4"/>
      <c r="E182" s="48"/>
      <c r="F182" s="48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 ht="15.75" customHeight="1">
      <c r="A183" s="4"/>
      <c r="B183" s="4"/>
      <c r="C183" s="4"/>
      <c r="D183" s="4"/>
      <c r="E183" s="48"/>
      <c r="F183" s="48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 ht="15.75" customHeight="1">
      <c r="A184" s="4"/>
      <c r="B184" s="4"/>
      <c r="C184" s="4"/>
      <c r="D184" s="4"/>
      <c r="E184" s="48"/>
      <c r="F184" s="48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 ht="15.75" customHeight="1">
      <c r="A185" s="4"/>
      <c r="B185" s="4"/>
      <c r="C185" s="4"/>
      <c r="D185" s="4"/>
      <c r="E185" s="48"/>
      <c r="F185" s="48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 ht="15.75" customHeight="1">
      <c r="A186" s="4"/>
      <c r="B186" s="4"/>
      <c r="C186" s="4"/>
      <c r="D186" s="4"/>
      <c r="E186" s="48"/>
      <c r="F186" s="48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 ht="15.75" customHeight="1">
      <c r="A187" s="4"/>
      <c r="B187" s="4"/>
      <c r="C187" s="4"/>
      <c r="D187" s="4"/>
      <c r="E187" s="48"/>
      <c r="F187" s="48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 ht="15.75" customHeight="1">
      <c r="A188" s="4"/>
      <c r="B188" s="4"/>
      <c r="C188" s="4"/>
      <c r="D188" s="4"/>
      <c r="E188" s="48"/>
      <c r="F188" s="48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 ht="15.75" customHeight="1">
      <c r="A189" s="4"/>
      <c r="B189" s="4"/>
      <c r="C189" s="4"/>
      <c r="D189" s="4"/>
      <c r="E189" s="48"/>
      <c r="F189" s="48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 ht="15.75" customHeight="1">
      <c r="A190" s="4"/>
      <c r="B190" s="4"/>
      <c r="C190" s="4"/>
      <c r="D190" s="4"/>
      <c r="E190" s="48"/>
      <c r="F190" s="48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 ht="15.75" customHeight="1">
      <c r="A191" s="4"/>
      <c r="B191" s="4"/>
      <c r="C191" s="4"/>
      <c r="D191" s="4"/>
      <c r="E191" s="48"/>
      <c r="F191" s="48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 ht="15.75" customHeight="1">
      <c r="A192" s="4"/>
      <c r="B192" s="4"/>
      <c r="C192" s="4"/>
      <c r="D192" s="4"/>
      <c r="E192" s="48"/>
      <c r="F192" s="48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 ht="15.75" customHeight="1">
      <c r="A193" s="4"/>
      <c r="B193" s="4"/>
      <c r="C193" s="4"/>
      <c r="D193" s="4"/>
      <c r="E193" s="48"/>
      <c r="F193" s="48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 ht="15.75" customHeight="1">
      <c r="A194" s="4"/>
      <c r="B194" s="4"/>
      <c r="C194" s="4"/>
      <c r="D194" s="4"/>
      <c r="E194" s="48"/>
      <c r="F194" s="48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 ht="15.75" customHeight="1">
      <c r="A195" s="4"/>
      <c r="B195" s="4"/>
      <c r="C195" s="4"/>
      <c r="D195" s="4"/>
      <c r="E195" s="48"/>
      <c r="F195" s="48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 ht="15.75" customHeight="1">
      <c r="A196" s="4"/>
      <c r="B196" s="4"/>
      <c r="C196" s="4"/>
      <c r="D196" s="4"/>
      <c r="E196" s="48"/>
      <c r="F196" s="48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 ht="15.75" customHeight="1">
      <c r="A197" s="4"/>
      <c r="B197" s="4"/>
      <c r="C197" s="4"/>
      <c r="D197" s="4"/>
      <c r="E197" s="48"/>
      <c r="F197" s="48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 ht="15.75" customHeight="1">
      <c r="A198" s="4"/>
      <c r="B198" s="4"/>
      <c r="C198" s="4"/>
      <c r="D198" s="4"/>
      <c r="E198" s="48"/>
      <c r="F198" s="48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 ht="15.75" customHeight="1">
      <c r="A199" s="4"/>
      <c r="B199" s="4"/>
      <c r="C199" s="4"/>
      <c r="D199" s="4"/>
      <c r="E199" s="48"/>
      <c r="F199" s="48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 ht="15.75" customHeight="1">
      <c r="A200" s="4"/>
      <c r="B200" s="4"/>
      <c r="C200" s="4"/>
      <c r="D200" s="4"/>
      <c r="E200" s="48"/>
      <c r="F200" s="48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 ht="15.75" customHeight="1">
      <c r="A201" s="4"/>
      <c r="B201" s="4"/>
      <c r="C201" s="4"/>
      <c r="D201" s="4"/>
      <c r="E201" s="48"/>
      <c r="F201" s="48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 ht="15.75" customHeight="1">
      <c r="A202" s="4"/>
      <c r="B202" s="4"/>
      <c r="C202" s="4"/>
      <c r="D202" s="4"/>
      <c r="E202" s="48"/>
      <c r="F202" s="48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 ht="15.75" customHeight="1">
      <c r="A203" s="4"/>
      <c r="B203" s="4"/>
      <c r="C203" s="4"/>
      <c r="D203" s="4"/>
      <c r="E203" s="48"/>
      <c r="F203" s="48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 ht="15.75" customHeight="1">
      <c r="A204" s="4"/>
      <c r="B204" s="4"/>
      <c r="C204" s="4"/>
      <c r="D204" s="4"/>
      <c r="E204" s="48"/>
      <c r="F204" s="48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 ht="15.75" customHeight="1">
      <c r="A205" s="4"/>
      <c r="B205" s="4"/>
      <c r="C205" s="4"/>
      <c r="D205" s="4"/>
      <c r="E205" s="48"/>
      <c r="F205" s="48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 ht="15.75" customHeight="1">
      <c r="A206" s="4"/>
      <c r="B206" s="4"/>
      <c r="C206" s="4"/>
      <c r="D206" s="4"/>
      <c r="E206" s="48"/>
      <c r="F206" s="48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 ht="15.75" customHeight="1">
      <c r="A207" s="4"/>
      <c r="B207" s="4"/>
      <c r="C207" s="4"/>
      <c r="D207" s="4"/>
      <c r="E207" s="48"/>
      <c r="F207" s="48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 ht="15.75" customHeight="1">
      <c r="A208" s="4"/>
      <c r="B208" s="4"/>
      <c r="C208" s="4"/>
      <c r="D208" s="4"/>
      <c r="E208" s="48"/>
      <c r="F208" s="48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 ht="15.75" customHeight="1">
      <c r="A209" s="4"/>
      <c r="B209" s="4"/>
      <c r="C209" s="4"/>
      <c r="D209" s="4"/>
      <c r="E209" s="48"/>
      <c r="F209" s="48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 ht="15.75" customHeight="1">
      <c r="A210" s="4"/>
      <c r="B210" s="4"/>
      <c r="C210" s="4"/>
      <c r="D210" s="4"/>
      <c r="E210" s="48"/>
      <c r="F210" s="48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 ht="15.75" customHeight="1">
      <c r="A211" s="4"/>
      <c r="B211" s="4"/>
      <c r="C211" s="4"/>
      <c r="D211" s="4"/>
      <c r="E211" s="48"/>
      <c r="F211" s="48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 ht="15.75" customHeight="1">
      <c r="A212" s="4"/>
      <c r="B212" s="4"/>
      <c r="C212" s="4"/>
      <c r="D212" s="4"/>
      <c r="E212" s="48"/>
      <c r="F212" s="48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 ht="15.75" customHeight="1">
      <c r="A213" s="4"/>
      <c r="B213" s="4"/>
      <c r="C213" s="4"/>
      <c r="D213" s="4"/>
      <c r="E213" s="48"/>
      <c r="F213" s="48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 ht="15.75" customHeight="1">
      <c r="A214" s="4"/>
      <c r="B214" s="4"/>
      <c r="C214" s="4"/>
      <c r="D214" s="4"/>
      <c r="E214" s="48"/>
      <c r="F214" s="48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  <row r="215" ht="15.75" customHeight="1">
      <c r="A215" s="4"/>
      <c r="B215" s="4"/>
      <c r="C215" s="4"/>
      <c r="D215" s="4"/>
      <c r="E215" s="48"/>
      <c r="F215" s="48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</row>
    <row r="216" ht="15.75" customHeight="1">
      <c r="A216" s="4"/>
      <c r="B216" s="4"/>
      <c r="C216" s="4"/>
      <c r="D216" s="4"/>
      <c r="E216" s="48"/>
      <c r="F216" s="48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</row>
    <row r="217" ht="15.75" customHeight="1">
      <c r="A217" s="4"/>
      <c r="B217" s="4"/>
      <c r="C217" s="4"/>
      <c r="D217" s="4"/>
      <c r="E217" s="48"/>
      <c r="F217" s="48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</row>
    <row r="218" ht="15.75" customHeight="1">
      <c r="A218" s="4"/>
      <c r="B218" s="4"/>
      <c r="C218" s="4"/>
      <c r="D218" s="4"/>
      <c r="E218" s="48"/>
      <c r="F218" s="48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</row>
    <row r="219" ht="15.75" customHeight="1">
      <c r="A219" s="4"/>
      <c r="B219" s="4"/>
      <c r="C219" s="4"/>
      <c r="D219" s="4"/>
      <c r="E219" s="48"/>
      <c r="F219" s="48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</row>
    <row r="220" ht="15.75" customHeight="1">
      <c r="A220" s="4"/>
      <c r="B220" s="4"/>
      <c r="C220" s="4"/>
      <c r="D220" s="4"/>
      <c r="E220" s="48"/>
      <c r="F220" s="48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</row>
    <row r="221" ht="15.75" customHeight="1">
      <c r="A221" s="4"/>
      <c r="B221" s="4"/>
      <c r="C221" s="4"/>
      <c r="D221" s="4"/>
      <c r="E221" s="48"/>
      <c r="F221" s="48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</row>
    <row r="222" ht="15.75" customHeight="1">
      <c r="A222" s="4"/>
      <c r="B222" s="4"/>
      <c r="C222" s="4"/>
      <c r="D222" s="4"/>
      <c r="E222" s="48"/>
      <c r="F222" s="48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</row>
    <row r="223" ht="15.75" customHeight="1">
      <c r="A223" s="4"/>
      <c r="B223" s="4"/>
      <c r="C223" s="4"/>
      <c r="D223" s="4"/>
      <c r="E223" s="48"/>
      <c r="F223" s="48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</row>
    <row r="224" ht="15.75" customHeight="1">
      <c r="A224" s="4"/>
      <c r="B224" s="4"/>
      <c r="C224" s="4"/>
      <c r="D224" s="4"/>
      <c r="E224" s="48"/>
      <c r="F224" s="48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</row>
    <row r="225" ht="15.75" customHeight="1">
      <c r="A225" s="4"/>
      <c r="B225" s="4"/>
      <c r="C225" s="4"/>
      <c r="D225" s="4"/>
      <c r="E225" s="48"/>
      <c r="F225" s="48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</row>
    <row r="226" ht="15.75" customHeight="1">
      <c r="A226" s="4"/>
      <c r="B226" s="4"/>
      <c r="C226" s="4"/>
      <c r="D226" s="4"/>
      <c r="E226" s="48"/>
      <c r="F226" s="48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</row>
    <row r="227" ht="15.75" customHeight="1">
      <c r="A227" s="4"/>
      <c r="B227" s="4"/>
      <c r="C227" s="4"/>
      <c r="D227" s="4"/>
      <c r="E227" s="48"/>
      <c r="F227" s="48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</row>
    <row r="228" ht="15.75" customHeight="1">
      <c r="A228" s="4"/>
      <c r="B228" s="4"/>
      <c r="C228" s="4"/>
      <c r="D228" s="4"/>
      <c r="E228" s="48"/>
      <c r="F228" s="48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</row>
    <row r="229" ht="15.75" customHeight="1">
      <c r="A229" s="4"/>
      <c r="B229" s="4"/>
      <c r="C229" s="4"/>
      <c r="D229" s="4"/>
      <c r="E229" s="48"/>
      <c r="F229" s="48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</row>
    <row r="230" ht="15.75" customHeight="1">
      <c r="A230" s="4"/>
      <c r="B230" s="4"/>
      <c r="C230" s="4"/>
      <c r="D230" s="4"/>
      <c r="E230" s="48"/>
      <c r="F230" s="48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</row>
    <row r="231" ht="15.75" customHeight="1">
      <c r="A231" s="4"/>
      <c r="B231" s="4"/>
      <c r="C231" s="4"/>
      <c r="D231" s="4"/>
      <c r="E231" s="48"/>
      <c r="F231" s="48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</row>
    <row r="232" ht="15.75" customHeight="1">
      <c r="A232" s="4"/>
      <c r="B232" s="4"/>
      <c r="C232" s="4"/>
      <c r="D232" s="4"/>
      <c r="E232" s="48"/>
      <c r="F232" s="48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</row>
    <row r="233" ht="15.75" customHeight="1">
      <c r="A233" s="4"/>
      <c r="B233" s="4"/>
      <c r="C233" s="4"/>
      <c r="D233" s="4"/>
      <c r="E233" s="48"/>
      <c r="F233" s="48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</row>
    <row r="234" ht="15.75" customHeight="1">
      <c r="A234" s="4"/>
      <c r="B234" s="4"/>
      <c r="C234" s="4"/>
      <c r="D234" s="4"/>
      <c r="E234" s="48"/>
      <c r="F234" s="48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</row>
    <row r="235" ht="15.75" customHeight="1">
      <c r="A235" s="4"/>
      <c r="B235" s="4"/>
      <c r="C235" s="4"/>
      <c r="D235" s="4"/>
      <c r="E235" s="48"/>
      <c r="F235" s="48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</row>
    <row r="236" ht="15.75" customHeight="1">
      <c r="A236" s="4"/>
      <c r="B236" s="4"/>
      <c r="C236" s="4"/>
      <c r="D236" s="4"/>
      <c r="E236" s="48"/>
      <c r="F236" s="48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</row>
    <row r="237" ht="15.75" customHeight="1">
      <c r="A237" s="4"/>
      <c r="B237" s="4"/>
      <c r="C237" s="4"/>
      <c r="D237" s="4"/>
      <c r="E237" s="48"/>
      <c r="F237" s="48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</row>
    <row r="238" ht="15.75" customHeight="1">
      <c r="A238" s="4"/>
      <c r="B238" s="4"/>
      <c r="C238" s="4"/>
      <c r="D238" s="4"/>
      <c r="E238" s="48"/>
      <c r="F238" s="48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E9:G9"/>
    <mergeCell ref="H9:J9"/>
    <mergeCell ref="B1:H2"/>
    <mergeCell ref="B3:H3"/>
    <mergeCell ref="B5:D5"/>
    <mergeCell ref="B8:D8"/>
    <mergeCell ref="E8:G8"/>
    <mergeCell ref="H8:J8"/>
    <mergeCell ref="B9:D9"/>
    <mergeCell ref="E13:G13"/>
    <mergeCell ref="H13:J13"/>
    <mergeCell ref="B10:D10"/>
    <mergeCell ref="E10:G10"/>
    <mergeCell ref="H10:J10"/>
    <mergeCell ref="B11:D11"/>
    <mergeCell ref="E11:G11"/>
    <mergeCell ref="H11:J11"/>
    <mergeCell ref="B13:D13"/>
    <mergeCell ref="E16:G16"/>
    <mergeCell ref="H16:J16"/>
    <mergeCell ref="B16:D16"/>
    <mergeCell ref="B32:C32"/>
    <mergeCell ref="B35:J35"/>
    <mergeCell ref="D36:J36"/>
    <mergeCell ref="D37:J37"/>
    <mergeCell ref="D38:J38"/>
    <mergeCell ref="B14:D14"/>
    <mergeCell ref="E14:G14"/>
    <mergeCell ref="H14:J14"/>
    <mergeCell ref="B15:D15"/>
    <mergeCell ref="E15:G15"/>
    <mergeCell ref="H15:J15"/>
    <mergeCell ref="B18:J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21.75" customHeight="1">
      <c r="A1" s="1"/>
      <c r="B1" s="49" t="s">
        <v>51</v>
      </c>
      <c r="C1" s="3"/>
      <c r="D1" s="3"/>
      <c r="E1" s="3"/>
      <c r="F1" s="3"/>
      <c r="G1" s="3"/>
      <c r="H1" s="3"/>
      <c r="I1" s="50"/>
      <c r="J1" s="1"/>
      <c r="K1" s="1"/>
    </row>
    <row r="2" ht="21.75" customHeight="1">
      <c r="A2" s="1"/>
      <c r="B2" s="5"/>
      <c r="I2" s="1"/>
      <c r="J2" s="1"/>
      <c r="K2" s="1"/>
    </row>
    <row r="3" ht="21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21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60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60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70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76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80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83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86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90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94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99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100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100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101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102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103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104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105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106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107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108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109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109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110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111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112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113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114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115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116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117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118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118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119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120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121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122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123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124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125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126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127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127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128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129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130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131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132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133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134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135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136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136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137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138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139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140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141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142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143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144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145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145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146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147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148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149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150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151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152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153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154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154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155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156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157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158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159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160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161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162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163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163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164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165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166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167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168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169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170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171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172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172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173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174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175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176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177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178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179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180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181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181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182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183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184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185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186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187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188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/>
  <cols>
    <col customWidth="1" min="1" max="1" width="4.0"/>
    <col customWidth="1" min="2" max="2" width="14.0"/>
    <col customWidth="1" min="3" max="3" width="22.0"/>
    <col customWidth="1" min="4" max="4" width="12.0"/>
    <col customWidth="1" min="5" max="5" width="18.0"/>
    <col customWidth="1" min="6" max="8" width="14.0"/>
    <col customWidth="1" min="9" max="9" width="20.0"/>
    <col customWidth="1" min="10" max="11" width="8.71"/>
  </cols>
  <sheetData>
    <row r="1" ht="18.75" customHeight="1">
      <c r="A1" s="1"/>
      <c r="B1" s="49" t="s">
        <v>189</v>
      </c>
      <c r="C1" s="3"/>
      <c r="D1" s="3"/>
      <c r="E1" s="3"/>
      <c r="F1" s="3"/>
      <c r="G1" s="3"/>
      <c r="H1" s="3"/>
      <c r="I1" s="50"/>
      <c r="J1" s="1"/>
      <c r="K1" s="1"/>
    </row>
    <row r="2" ht="18.75" customHeight="1">
      <c r="A2" s="1"/>
      <c r="B2" s="5"/>
      <c r="I2" s="1"/>
      <c r="J2" s="1"/>
      <c r="K2" s="1"/>
    </row>
    <row r="3" ht="18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ht="18.75" customHeight="1">
      <c r="A4" s="1"/>
      <c r="B4" s="12" t="s">
        <v>52</v>
      </c>
      <c r="C4" s="7"/>
      <c r="D4" s="13" t="s">
        <v>53</v>
      </c>
      <c r="E4" s="7"/>
      <c r="F4" s="51" t="s">
        <v>54</v>
      </c>
      <c r="G4" s="7"/>
      <c r="H4" s="1"/>
      <c r="I4" s="1"/>
      <c r="J4" s="1"/>
      <c r="K4" s="1"/>
    </row>
    <row r="5" ht="18.75" customHeight="1">
      <c r="A5" s="1"/>
      <c r="B5" s="52">
        <f>SUMIF(C8:C107,"Receita",E8:E107)</f>
        <v>0</v>
      </c>
      <c r="C5" s="7"/>
      <c r="D5" s="53">
        <f>SUMIF(C8:C107,"Despesa",E8:E107)</f>
        <v>0</v>
      </c>
      <c r="E5" s="7"/>
      <c r="F5" s="54">
        <f>B5-D5</f>
        <v>0</v>
      </c>
      <c r="G5" s="7"/>
      <c r="H5" s="1"/>
      <c r="I5" s="1"/>
      <c r="J5" s="1"/>
      <c r="K5" s="1"/>
    </row>
    <row r="6" ht="18.7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ht="18.75" customHeight="1">
      <c r="A7" s="1"/>
      <c r="B7" s="55" t="s">
        <v>55</v>
      </c>
      <c r="C7" s="55" t="s">
        <v>56</v>
      </c>
      <c r="D7" s="55" t="s">
        <v>21</v>
      </c>
      <c r="E7" s="55" t="s">
        <v>20</v>
      </c>
      <c r="F7" s="55" t="s">
        <v>57</v>
      </c>
      <c r="G7" s="55" t="s">
        <v>26</v>
      </c>
      <c r="H7" s="55" t="s">
        <v>58</v>
      </c>
      <c r="I7" s="55" t="s">
        <v>59</v>
      </c>
      <c r="J7" s="1"/>
      <c r="K7" s="1"/>
    </row>
    <row r="8" ht="18.75" customHeight="1">
      <c r="A8" s="1"/>
      <c r="B8" s="56" t="s">
        <v>190</v>
      </c>
      <c r="C8" s="56" t="s">
        <v>61</v>
      </c>
      <c r="D8" s="57" t="s">
        <v>62</v>
      </c>
      <c r="E8" s="56" t="s">
        <v>63</v>
      </c>
      <c r="F8" s="58">
        <v>3500.0</v>
      </c>
      <c r="G8" s="57" t="s">
        <v>64</v>
      </c>
      <c r="H8" s="56" t="s">
        <v>65</v>
      </c>
      <c r="I8" s="56" t="s">
        <v>66</v>
      </c>
      <c r="J8" s="1"/>
      <c r="K8" s="1"/>
    </row>
    <row r="9" ht="18.75" customHeight="1">
      <c r="A9" s="1"/>
      <c r="B9" s="59" t="s">
        <v>190</v>
      </c>
      <c r="C9" s="59" t="s">
        <v>67</v>
      </c>
      <c r="D9" s="60" t="s">
        <v>62</v>
      </c>
      <c r="E9" s="59" t="s">
        <v>63</v>
      </c>
      <c r="F9" s="61">
        <v>500.0</v>
      </c>
      <c r="G9" s="60" t="s">
        <v>64</v>
      </c>
      <c r="H9" s="59" t="s">
        <v>68</v>
      </c>
      <c r="I9" s="59" t="s">
        <v>69</v>
      </c>
      <c r="J9" s="1"/>
      <c r="K9" s="1"/>
    </row>
    <row r="10" ht="18.75" customHeight="1">
      <c r="A10" s="1"/>
      <c r="B10" s="56" t="s">
        <v>191</v>
      </c>
      <c r="C10" s="56" t="s">
        <v>71</v>
      </c>
      <c r="D10" s="62" t="s">
        <v>72</v>
      </c>
      <c r="E10" s="56" t="s">
        <v>27</v>
      </c>
      <c r="F10" s="63">
        <v>1200.0</v>
      </c>
      <c r="G10" s="57" t="s">
        <v>73</v>
      </c>
      <c r="H10" s="56" t="s">
        <v>74</v>
      </c>
      <c r="I10" s="56" t="s">
        <v>75</v>
      </c>
      <c r="J10" s="1"/>
      <c r="K10" s="1"/>
    </row>
    <row r="11" ht="18.75" customHeight="1">
      <c r="A11" s="1"/>
      <c r="B11" s="59" t="s">
        <v>192</v>
      </c>
      <c r="C11" s="59" t="s">
        <v>77</v>
      </c>
      <c r="D11" s="64" t="s">
        <v>72</v>
      </c>
      <c r="E11" s="59" t="s">
        <v>31</v>
      </c>
      <c r="F11" s="65">
        <v>450.0</v>
      </c>
      <c r="G11" s="60" t="s">
        <v>73</v>
      </c>
      <c r="H11" s="59" t="s">
        <v>78</v>
      </c>
      <c r="I11" s="59" t="s">
        <v>79</v>
      </c>
      <c r="J11" s="1"/>
      <c r="K11" s="1"/>
    </row>
    <row r="12" ht="18.75" customHeight="1">
      <c r="A12" s="1"/>
      <c r="B12" s="56" t="s">
        <v>193</v>
      </c>
      <c r="C12" s="56" t="s">
        <v>81</v>
      </c>
      <c r="D12" s="62" t="s">
        <v>72</v>
      </c>
      <c r="E12" s="56" t="s">
        <v>29</v>
      </c>
      <c r="F12" s="63">
        <v>150.0</v>
      </c>
      <c r="G12" s="57" t="s">
        <v>73</v>
      </c>
      <c r="H12" s="56" t="s">
        <v>82</v>
      </c>
      <c r="I12" s="56"/>
      <c r="J12" s="1"/>
      <c r="K12" s="1"/>
    </row>
    <row r="13" ht="18.75" customHeight="1">
      <c r="A13" s="1"/>
      <c r="B13" s="59" t="s">
        <v>194</v>
      </c>
      <c r="C13" s="59" t="s">
        <v>84</v>
      </c>
      <c r="D13" s="64" t="s">
        <v>72</v>
      </c>
      <c r="E13" s="59" t="s">
        <v>30</v>
      </c>
      <c r="F13" s="65">
        <v>200.0</v>
      </c>
      <c r="G13" s="60" t="s">
        <v>73</v>
      </c>
      <c r="H13" s="59" t="s">
        <v>85</v>
      </c>
      <c r="I13" s="59"/>
      <c r="J13" s="1"/>
      <c r="K13" s="1"/>
    </row>
    <row r="14" ht="18.75" customHeight="1">
      <c r="A14" s="1"/>
      <c r="B14" s="56" t="s">
        <v>195</v>
      </c>
      <c r="C14" s="56" t="s">
        <v>87</v>
      </c>
      <c r="D14" s="62" t="s">
        <v>72</v>
      </c>
      <c r="E14" s="56" t="s">
        <v>39</v>
      </c>
      <c r="F14" s="63">
        <v>500.0</v>
      </c>
      <c r="G14" s="57" t="s">
        <v>73</v>
      </c>
      <c r="H14" s="56" t="s">
        <v>88</v>
      </c>
      <c r="I14" s="56" t="s">
        <v>89</v>
      </c>
      <c r="J14" s="1"/>
      <c r="K14" s="1"/>
    </row>
    <row r="15" ht="18.75" customHeight="1">
      <c r="A15" s="1"/>
      <c r="B15" s="59" t="s">
        <v>196</v>
      </c>
      <c r="C15" s="59" t="s">
        <v>91</v>
      </c>
      <c r="D15" s="64" t="s">
        <v>72</v>
      </c>
      <c r="E15" s="59" t="s">
        <v>33</v>
      </c>
      <c r="F15" s="65">
        <v>100.0</v>
      </c>
      <c r="G15" s="66" t="s">
        <v>92</v>
      </c>
      <c r="H15" s="59" t="s">
        <v>93</v>
      </c>
      <c r="I15" s="59"/>
      <c r="J15" s="1"/>
      <c r="K15" s="1"/>
    </row>
    <row r="16" ht="18.75" customHeight="1">
      <c r="A16" s="1"/>
      <c r="B16" s="56" t="s">
        <v>197</v>
      </c>
      <c r="C16" s="56" t="s">
        <v>95</v>
      </c>
      <c r="D16" s="62" t="s">
        <v>72</v>
      </c>
      <c r="E16" s="56" t="s">
        <v>37</v>
      </c>
      <c r="F16" s="63">
        <v>60.0</v>
      </c>
      <c r="G16" s="67" t="s">
        <v>92</v>
      </c>
      <c r="H16" s="56" t="s">
        <v>96</v>
      </c>
      <c r="I16" s="56"/>
      <c r="J16" s="1"/>
      <c r="K16" s="1"/>
    </row>
    <row r="17" ht="18.75" customHeight="1">
      <c r="A17" s="1"/>
      <c r="B17" s="59"/>
      <c r="C17" s="59"/>
      <c r="D17" s="59"/>
      <c r="E17" s="59"/>
      <c r="F17" s="68"/>
      <c r="G17" s="59"/>
      <c r="H17" s="59"/>
      <c r="I17" s="59"/>
      <c r="J17" s="1"/>
      <c r="K17" s="1"/>
    </row>
    <row r="18" ht="18.75" customHeight="1">
      <c r="A18" s="1"/>
      <c r="B18" s="56"/>
      <c r="C18" s="56"/>
      <c r="D18" s="56"/>
      <c r="E18" s="56"/>
      <c r="F18" s="69"/>
      <c r="G18" s="56"/>
      <c r="H18" s="56"/>
      <c r="I18" s="56"/>
      <c r="J18" s="1"/>
      <c r="K18" s="1"/>
    </row>
    <row r="19" ht="18.75" customHeight="1">
      <c r="A19" s="1"/>
      <c r="B19" s="59"/>
      <c r="C19" s="59"/>
      <c r="D19" s="59"/>
      <c r="E19" s="59"/>
      <c r="F19" s="68"/>
      <c r="G19" s="59"/>
      <c r="H19" s="59"/>
      <c r="I19" s="59"/>
      <c r="J19" s="1"/>
      <c r="K19" s="1"/>
    </row>
    <row r="20" ht="18.75" customHeight="1">
      <c r="A20" s="1"/>
      <c r="B20" s="56"/>
      <c r="C20" s="56"/>
      <c r="D20" s="56"/>
      <c r="E20" s="56"/>
      <c r="F20" s="69"/>
      <c r="G20" s="56"/>
      <c r="H20" s="56"/>
      <c r="I20" s="56"/>
      <c r="J20" s="1"/>
      <c r="K20" s="1"/>
    </row>
    <row r="21" ht="18.75" customHeight="1">
      <c r="A21" s="1"/>
      <c r="B21" s="59"/>
      <c r="C21" s="59"/>
      <c r="D21" s="59"/>
      <c r="E21" s="59"/>
      <c r="F21" s="68"/>
      <c r="G21" s="59"/>
      <c r="H21" s="59"/>
      <c r="I21" s="59"/>
      <c r="J21" s="1"/>
      <c r="K21" s="1"/>
    </row>
    <row r="22" ht="18.75" customHeight="1">
      <c r="A22" s="1"/>
      <c r="B22" s="56"/>
      <c r="C22" s="56"/>
      <c r="D22" s="56"/>
      <c r="E22" s="56"/>
      <c r="F22" s="69"/>
      <c r="G22" s="56"/>
      <c r="H22" s="56"/>
      <c r="I22" s="56"/>
      <c r="J22" s="1"/>
      <c r="K22" s="1"/>
    </row>
    <row r="23" ht="18.75" customHeight="1">
      <c r="A23" s="1"/>
      <c r="B23" s="59"/>
      <c r="C23" s="59"/>
      <c r="D23" s="59"/>
      <c r="E23" s="59"/>
      <c r="F23" s="68"/>
      <c r="G23" s="59"/>
      <c r="H23" s="59"/>
      <c r="I23" s="59"/>
      <c r="J23" s="1"/>
      <c r="K23" s="1"/>
    </row>
    <row r="24" ht="18.75" customHeight="1">
      <c r="A24" s="1"/>
      <c r="B24" s="56"/>
      <c r="C24" s="56"/>
      <c r="D24" s="56"/>
      <c r="E24" s="56"/>
      <c r="F24" s="69"/>
      <c r="G24" s="56"/>
      <c r="H24" s="56"/>
      <c r="I24" s="56"/>
      <c r="J24" s="1"/>
      <c r="K24" s="1"/>
    </row>
    <row r="25" ht="18.75" customHeight="1">
      <c r="A25" s="1"/>
      <c r="B25" s="59"/>
      <c r="C25" s="59"/>
      <c r="D25" s="59"/>
      <c r="E25" s="59"/>
      <c r="F25" s="68"/>
      <c r="G25" s="59"/>
      <c r="H25" s="59"/>
      <c r="I25" s="59"/>
      <c r="J25" s="1"/>
      <c r="K25" s="1"/>
    </row>
    <row r="26" ht="18.75" customHeight="1">
      <c r="A26" s="1"/>
      <c r="B26" s="56"/>
      <c r="C26" s="56"/>
      <c r="D26" s="56"/>
      <c r="E26" s="56"/>
      <c r="F26" s="69"/>
      <c r="G26" s="56"/>
      <c r="H26" s="56"/>
      <c r="I26" s="56"/>
      <c r="J26" s="1"/>
      <c r="K26" s="1"/>
    </row>
    <row r="27" ht="18.75" customHeight="1">
      <c r="A27" s="1"/>
      <c r="B27" s="59"/>
      <c r="C27" s="59"/>
      <c r="D27" s="59"/>
      <c r="E27" s="59"/>
      <c r="F27" s="68"/>
      <c r="G27" s="59"/>
      <c r="H27" s="59"/>
      <c r="I27" s="59"/>
      <c r="J27" s="1"/>
      <c r="K27" s="1"/>
    </row>
    <row r="28" ht="18.75" customHeight="1">
      <c r="A28" s="1"/>
      <c r="B28" s="56"/>
      <c r="C28" s="56"/>
      <c r="D28" s="56"/>
      <c r="E28" s="56"/>
      <c r="F28" s="69"/>
      <c r="G28" s="56"/>
      <c r="H28" s="56"/>
      <c r="I28" s="56"/>
      <c r="J28" s="1"/>
      <c r="K28" s="1"/>
    </row>
    <row r="29" ht="18.75" customHeight="1">
      <c r="A29" s="1"/>
      <c r="B29" s="59"/>
      <c r="C29" s="59"/>
      <c r="D29" s="59"/>
      <c r="E29" s="59"/>
      <c r="F29" s="68"/>
      <c r="G29" s="59"/>
      <c r="H29" s="59"/>
      <c r="I29" s="59"/>
      <c r="J29" s="1"/>
      <c r="K29" s="1"/>
    </row>
    <row r="30" ht="18.75" customHeight="1">
      <c r="A30" s="1"/>
      <c r="B30" s="56"/>
      <c r="C30" s="56"/>
      <c r="D30" s="56"/>
      <c r="E30" s="56"/>
      <c r="F30" s="69"/>
      <c r="G30" s="56"/>
      <c r="H30" s="56"/>
      <c r="I30" s="56"/>
      <c r="J30" s="1"/>
      <c r="K30" s="1"/>
    </row>
    <row r="31" ht="18.75" customHeight="1">
      <c r="A31" s="1"/>
      <c r="B31" s="59"/>
      <c r="C31" s="59"/>
      <c r="D31" s="59"/>
      <c r="E31" s="59"/>
      <c r="F31" s="68"/>
      <c r="G31" s="59"/>
      <c r="H31" s="59"/>
      <c r="I31" s="59"/>
      <c r="J31" s="1"/>
      <c r="K31" s="1"/>
    </row>
    <row r="32" ht="18.75" customHeight="1">
      <c r="A32" s="1"/>
      <c r="B32" s="56"/>
      <c r="C32" s="56"/>
      <c r="D32" s="56"/>
      <c r="E32" s="56"/>
      <c r="F32" s="69"/>
      <c r="G32" s="56"/>
      <c r="H32" s="56"/>
      <c r="I32" s="56"/>
      <c r="J32" s="1"/>
      <c r="K32" s="1"/>
    </row>
    <row r="33" ht="18.75" customHeight="1">
      <c r="A33" s="1"/>
      <c r="B33" s="59"/>
      <c r="C33" s="59"/>
      <c r="D33" s="59"/>
      <c r="E33" s="59"/>
      <c r="F33" s="68"/>
      <c r="G33" s="59"/>
      <c r="H33" s="59"/>
      <c r="I33" s="59"/>
      <c r="J33" s="1"/>
      <c r="K33" s="1"/>
    </row>
    <row r="34" ht="18.75" customHeight="1">
      <c r="A34" s="1"/>
      <c r="B34" s="56"/>
      <c r="C34" s="56"/>
      <c r="D34" s="56"/>
      <c r="E34" s="56"/>
      <c r="F34" s="69"/>
      <c r="G34" s="56"/>
      <c r="H34" s="56"/>
      <c r="I34" s="56"/>
      <c r="J34" s="1"/>
      <c r="K34" s="1"/>
    </row>
    <row r="35" ht="18.75" customHeight="1">
      <c r="A35" s="1"/>
      <c r="B35" s="59"/>
      <c r="C35" s="59"/>
      <c r="D35" s="59"/>
      <c r="E35" s="59"/>
      <c r="F35" s="68"/>
      <c r="G35" s="59"/>
      <c r="H35" s="59"/>
      <c r="I35" s="59"/>
      <c r="J35" s="1"/>
      <c r="K35" s="1"/>
    </row>
    <row r="36" ht="18.75" customHeight="1">
      <c r="A36" s="1"/>
      <c r="B36" s="56"/>
      <c r="C36" s="56"/>
      <c r="D36" s="56"/>
      <c r="E36" s="56"/>
      <c r="F36" s="69"/>
      <c r="G36" s="56"/>
      <c r="H36" s="56"/>
      <c r="I36" s="56"/>
      <c r="J36" s="1"/>
      <c r="K36" s="1"/>
    </row>
    <row r="37" ht="18.75" customHeight="1">
      <c r="A37" s="1"/>
      <c r="B37" s="59"/>
      <c r="C37" s="59"/>
      <c r="D37" s="59"/>
      <c r="E37" s="59"/>
      <c r="F37" s="68"/>
      <c r="G37" s="59"/>
      <c r="H37" s="59"/>
      <c r="I37" s="59"/>
      <c r="J37" s="1"/>
      <c r="K37" s="1"/>
    </row>
    <row r="38" ht="18.75" customHeight="1">
      <c r="A38" s="1"/>
      <c r="B38" s="56"/>
      <c r="C38" s="56"/>
      <c r="D38" s="56"/>
      <c r="E38" s="56"/>
      <c r="F38" s="69"/>
      <c r="G38" s="56"/>
      <c r="H38" s="56"/>
      <c r="I38" s="56"/>
      <c r="J38" s="1"/>
      <c r="K38" s="1"/>
    </row>
    <row r="39" ht="18.75" customHeight="1">
      <c r="A39" s="1"/>
      <c r="B39" s="59"/>
      <c r="C39" s="59"/>
      <c r="D39" s="59"/>
      <c r="E39" s="59"/>
      <c r="F39" s="68"/>
      <c r="G39" s="59"/>
      <c r="H39" s="59"/>
      <c r="I39" s="59"/>
      <c r="J39" s="1"/>
      <c r="K39" s="1"/>
    </row>
    <row r="40" ht="18.75" customHeight="1">
      <c r="A40" s="1"/>
      <c r="B40" s="56"/>
      <c r="C40" s="56"/>
      <c r="D40" s="56"/>
      <c r="E40" s="56"/>
      <c r="F40" s="69"/>
      <c r="G40" s="56"/>
      <c r="H40" s="56"/>
      <c r="I40" s="56"/>
      <c r="J40" s="1"/>
      <c r="K40" s="1"/>
    </row>
    <row r="41" ht="18.75" customHeight="1">
      <c r="A41" s="1"/>
      <c r="B41" s="59"/>
      <c r="C41" s="59"/>
      <c r="D41" s="59"/>
      <c r="E41" s="59"/>
      <c r="F41" s="68"/>
      <c r="G41" s="59"/>
      <c r="H41" s="59"/>
      <c r="I41" s="59"/>
      <c r="J41" s="1"/>
      <c r="K41" s="1"/>
    </row>
    <row r="42" ht="18.75" customHeight="1">
      <c r="A42" s="1"/>
      <c r="B42" s="56"/>
      <c r="C42" s="56"/>
      <c r="D42" s="56"/>
      <c r="E42" s="56"/>
      <c r="F42" s="69"/>
      <c r="G42" s="56"/>
      <c r="H42" s="56"/>
      <c r="I42" s="56"/>
      <c r="J42" s="1"/>
      <c r="K42" s="1"/>
    </row>
    <row r="43" ht="18.75" customHeight="1">
      <c r="A43" s="1"/>
      <c r="B43" s="59"/>
      <c r="C43" s="59"/>
      <c r="D43" s="59"/>
      <c r="E43" s="59"/>
      <c r="F43" s="68"/>
      <c r="G43" s="59"/>
      <c r="H43" s="59"/>
      <c r="I43" s="59"/>
      <c r="J43" s="1"/>
      <c r="K43" s="1"/>
    </row>
    <row r="44" ht="18.75" customHeight="1">
      <c r="A44" s="1"/>
      <c r="B44" s="56"/>
      <c r="C44" s="56"/>
      <c r="D44" s="56"/>
      <c r="E44" s="56"/>
      <c r="F44" s="69"/>
      <c r="G44" s="56"/>
      <c r="H44" s="56"/>
      <c r="I44" s="56"/>
      <c r="J44" s="1"/>
      <c r="K44" s="1"/>
    </row>
    <row r="45" ht="18.75" customHeight="1">
      <c r="A45" s="1"/>
      <c r="B45" s="59"/>
      <c r="C45" s="59"/>
      <c r="D45" s="59"/>
      <c r="E45" s="59"/>
      <c r="F45" s="68"/>
      <c r="G45" s="59"/>
      <c r="H45" s="59"/>
      <c r="I45" s="59"/>
      <c r="J45" s="1"/>
      <c r="K45" s="1"/>
    </row>
    <row r="46" ht="18.75" customHeight="1">
      <c r="A46" s="1"/>
      <c r="B46" s="56"/>
      <c r="C46" s="56"/>
      <c r="D46" s="56"/>
      <c r="E46" s="56"/>
      <c r="F46" s="69"/>
      <c r="G46" s="56"/>
      <c r="H46" s="56"/>
      <c r="I46" s="56"/>
      <c r="J46" s="1"/>
      <c r="K46" s="1"/>
    </row>
    <row r="47" ht="18.75" customHeight="1">
      <c r="A47" s="1"/>
      <c r="B47" s="59"/>
      <c r="C47" s="59"/>
      <c r="D47" s="59"/>
      <c r="E47" s="59"/>
      <c r="F47" s="68"/>
      <c r="G47" s="59"/>
      <c r="H47" s="59"/>
      <c r="I47" s="59"/>
      <c r="J47" s="1"/>
      <c r="K47" s="1"/>
    </row>
    <row r="48" ht="18.75" customHeight="1">
      <c r="A48" s="1"/>
      <c r="B48" s="56"/>
      <c r="C48" s="56"/>
      <c r="D48" s="56"/>
      <c r="E48" s="56"/>
      <c r="F48" s="69"/>
      <c r="G48" s="56"/>
      <c r="H48" s="56"/>
      <c r="I48" s="56"/>
      <c r="J48" s="1"/>
      <c r="K48" s="1"/>
    </row>
    <row r="49" ht="18.75" customHeight="1">
      <c r="A49" s="1"/>
      <c r="B49" s="59"/>
      <c r="C49" s="59"/>
      <c r="D49" s="59"/>
      <c r="E49" s="59"/>
      <c r="F49" s="68"/>
      <c r="G49" s="59"/>
      <c r="H49" s="59"/>
      <c r="I49" s="59"/>
      <c r="J49" s="1"/>
      <c r="K49" s="1"/>
    </row>
    <row r="50" ht="18.75" customHeight="1">
      <c r="A50" s="1"/>
      <c r="B50" s="56"/>
      <c r="C50" s="56"/>
      <c r="D50" s="56"/>
      <c r="E50" s="56"/>
      <c r="F50" s="69"/>
      <c r="G50" s="56"/>
      <c r="H50" s="56"/>
      <c r="I50" s="56"/>
      <c r="J50" s="1"/>
      <c r="K50" s="1"/>
    </row>
    <row r="51" ht="18.75" customHeight="1">
      <c r="A51" s="1"/>
      <c r="B51" s="59"/>
      <c r="C51" s="59"/>
      <c r="D51" s="59"/>
      <c r="E51" s="59"/>
      <c r="F51" s="68"/>
      <c r="G51" s="59"/>
      <c r="H51" s="59"/>
      <c r="I51" s="59"/>
      <c r="J51" s="1"/>
      <c r="K51" s="1"/>
    </row>
    <row r="52" ht="18.75" customHeight="1">
      <c r="A52" s="1"/>
      <c r="B52" s="56"/>
      <c r="C52" s="56"/>
      <c r="D52" s="56"/>
      <c r="E52" s="56"/>
      <c r="F52" s="69"/>
      <c r="G52" s="56"/>
      <c r="H52" s="56"/>
      <c r="I52" s="56"/>
      <c r="J52" s="1"/>
      <c r="K52" s="1"/>
    </row>
    <row r="53" ht="18.75" customHeight="1">
      <c r="A53" s="1"/>
      <c r="B53" s="59"/>
      <c r="C53" s="59"/>
      <c r="D53" s="59"/>
      <c r="E53" s="59"/>
      <c r="F53" s="68"/>
      <c r="G53" s="59"/>
      <c r="H53" s="59"/>
      <c r="I53" s="59"/>
      <c r="J53" s="1"/>
      <c r="K53" s="1"/>
    </row>
    <row r="54" ht="18.75" customHeight="1">
      <c r="A54" s="1"/>
      <c r="B54" s="56"/>
      <c r="C54" s="56"/>
      <c r="D54" s="56"/>
      <c r="E54" s="56"/>
      <c r="F54" s="69"/>
      <c r="G54" s="56"/>
      <c r="H54" s="56"/>
      <c r="I54" s="56"/>
      <c r="J54" s="1"/>
      <c r="K54" s="1"/>
    </row>
    <row r="55" ht="18.75" customHeight="1">
      <c r="A55" s="1"/>
      <c r="B55" s="59"/>
      <c r="C55" s="59"/>
      <c r="D55" s="59"/>
      <c r="E55" s="59"/>
      <c r="F55" s="68"/>
      <c r="G55" s="59"/>
      <c r="H55" s="59"/>
      <c r="I55" s="59"/>
      <c r="J55" s="1"/>
      <c r="K55" s="1"/>
    </row>
    <row r="56" ht="18.75" customHeight="1">
      <c r="A56" s="1"/>
      <c r="B56" s="56"/>
      <c r="C56" s="56"/>
      <c r="D56" s="56"/>
      <c r="E56" s="56"/>
      <c r="F56" s="69"/>
      <c r="G56" s="56"/>
      <c r="H56" s="56"/>
      <c r="I56" s="56"/>
      <c r="J56" s="1"/>
      <c r="K56" s="1"/>
    </row>
    <row r="57" ht="18.75" customHeight="1">
      <c r="A57" s="1"/>
      <c r="B57" s="59"/>
      <c r="C57" s="59"/>
      <c r="D57" s="59"/>
      <c r="E57" s="59"/>
      <c r="F57" s="68"/>
      <c r="G57" s="59"/>
      <c r="H57" s="59"/>
      <c r="I57" s="59"/>
      <c r="J57" s="1"/>
      <c r="K57" s="1"/>
    </row>
    <row r="58" ht="18.75" customHeight="1">
      <c r="A58" s="1"/>
      <c r="B58" s="56"/>
      <c r="C58" s="56"/>
      <c r="D58" s="56"/>
      <c r="E58" s="56"/>
      <c r="F58" s="69"/>
      <c r="G58" s="56"/>
      <c r="H58" s="56"/>
      <c r="I58" s="56"/>
      <c r="J58" s="1"/>
      <c r="K58" s="1"/>
    </row>
    <row r="59" ht="18.75" customHeight="1">
      <c r="A59" s="1"/>
      <c r="B59" s="59"/>
      <c r="C59" s="59"/>
      <c r="D59" s="59"/>
      <c r="E59" s="59"/>
      <c r="F59" s="68"/>
      <c r="G59" s="59"/>
      <c r="H59" s="59"/>
      <c r="I59" s="59"/>
      <c r="J59" s="1"/>
      <c r="K59" s="1"/>
    </row>
    <row r="60" ht="18.75" customHeight="1">
      <c r="A60" s="1"/>
      <c r="B60" s="56"/>
      <c r="C60" s="56"/>
      <c r="D60" s="56"/>
      <c r="E60" s="56"/>
      <c r="F60" s="69"/>
      <c r="G60" s="56"/>
      <c r="H60" s="56"/>
      <c r="I60" s="56"/>
      <c r="J60" s="1"/>
      <c r="K60" s="1"/>
    </row>
    <row r="61" ht="18.75" customHeight="1">
      <c r="A61" s="1"/>
      <c r="B61" s="59"/>
      <c r="C61" s="59"/>
      <c r="D61" s="59"/>
      <c r="E61" s="59"/>
      <c r="F61" s="68"/>
      <c r="G61" s="59"/>
      <c r="H61" s="59"/>
      <c r="I61" s="59"/>
      <c r="J61" s="1"/>
      <c r="K61" s="1"/>
    </row>
    <row r="62" ht="18.75" customHeight="1">
      <c r="A62" s="1"/>
      <c r="B62" s="56"/>
      <c r="C62" s="56"/>
      <c r="D62" s="56"/>
      <c r="E62" s="56"/>
      <c r="F62" s="69"/>
      <c r="G62" s="56"/>
      <c r="H62" s="56"/>
      <c r="I62" s="56"/>
      <c r="J62" s="1"/>
      <c r="K62" s="1"/>
    </row>
    <row r="63" ht="18.75" customHeight="1">
      <c r="A63" s="1"/>
      <c r="B63" s="59"/>
      <c r="C63" s="59"/>
      <c r="D63" s="59"/>
      <c r="E63" s="59"/>
      <c r="F63" s="68"/>
      <c r="G63" s="59"/>
      <c r="H63" s="59"/>
      <c r="I63" s="59"/>
      <c r="J63" s="1"/>
      <c r="K63" s="1"/>
    </row>
    <row r="64" ht="18.75" customHeight="1">
      <c r="A64" s="1"/>
      <c r="B64" s="56"/>
      <c r="C64" s="56"/>
      <c r="D64" s="56"/>
      <c r="E64" s="56"/>
      <c r="F64" s="69"/>
      <c r="G64" s="56"/>
      <c r="H64" s="56"/>
      <c r="I64" s="56"/>
      <c r="J64" s="1"/>
      <c r="K64" s="1"/>
    </row>
    <row r="65" ht="18.75" customHeight="1">
      <c r="A65" s="1"/>
      <c r="B65" s="59"/>
      <c r="C65" s="59"/>
      <c r="D65" s="59"/>
      <c r="E65" s="59"/>
      <c r="F65" s="68"/>
      <c r="G65" s="59"/>
      <c r="H65" s="59"/>
      <c r="I65" s="59"/>
      <c r="J65" s="1"/>
      <c r="K65" s="1"/>
    </row>
    <row r="66" ht="18.75" customHeight="1">
      <c r="A66" s="1"/>
      <c r="B66" s="56"/>
      <c r="C66" s="56"/>
      <c r="D66" s="56"/>
      <c r="E66" s="56"/>
      <c r="F66" s="69"/>
      <c r="G66" s="56"/>
      <c r="H66" s="56"/>
      <c r="I66" s="56"/>
      <c r="J66" s="1"/>
      <c r="K66" s="1"/>
    </row>
    <row r="67" ht="18.75" customHeight="1">
      <c r="A67" s="1"/>
      <c r="B67" s="59"/>
      <c r="C67" s="59"/>
      <c r="D67" s="59"/>
      <c r="E67" s="59"/>
      <c r="F67" s="68"/>
      <c r="G67" s="59"/>
      <c r="H67" s="59"/>
      <c r="I67" s="59"/>
      <c r="J67" s="1"/>
      <c r="K67" s="1"/>
    </row>
    <row r="68" ht="18.75" customHeight="1">
      <c r="A68" s="1"/>
      <c r="B68" s="56"/>
      <c r="C68" s="56"/>
      <c r="D68" s="56"/>
      <c r="E68" s="56"/>
      <c r="F68" s="69"/>
      <c r="G68" s="56"/>
      <c r="H68" s="56"/>
      <c r="I68" s="56"/>
      <c r="J68" s="1"/>
      <c r="K68" s="1"/>
    </row>
    <row r="69" ht="18.75" customHeight="1">
      <c r="A69" s="1"/>
      <c r="B69" s="59"/>
      <c r="C69" s="59"/>
      <c r="D69" s="59"/>
      <c r="E69" s="59"/>
      <c r="F69" s="68"/>
      <c r="G69" s="59"/>
      <c r="H69" s="59"/>
      <c r="I69" s="59"/>
      <c r="J69" s="1"/>
      <c r="K69" s="1"/>
    </row>
    <row r="70" ht="18.75" customHeight="1">
      <c r="A70" s="1"/>
      <c r="B70" s="56"/>
      <c r="C70" s="56"/>
      <c r="D70" s="56"/>
      <c r="E70" s="56"/>
      <c r="F70" s="69"/>
      <c r="G70" s="56"/>
      <c r="H70" s="56"/>
      <c r="I70" s="56"/>
      <c r="J70" s="1"/>
      <c r="K70" s="1"/>
    </row>
    <row r="71" ht="18.75" customHeight="1">
      <c r="A71" s="1"/>
      <c r="B71" s="59"/>
      <c r="C71" s="59"/>
      <c r="D71" s="59"/>
      <c r="E71" s="59"/>
      <c r="F71" s="68"/>
      <c r="G71" s="59"/>
      <c r="H71" s="59"/>
      <c r="I71" s="59"/>
      <c r="J71" s="1"/>
      <c r="K71" s="1"/>
    </row>
    <row r="72" ht="18.75" customHeight="1">
      <c r="A72" s="1"/>
      <c r="B72" s="56"/>
      <c r="C72" s="56"/>
      <c r="D72" s="56"/>
      <c r="E72" s="56"/>
      <c r="F72" s="69"/>
      <c r="G72" s="56"/>
      <c r="H72" s="56"/>
      <c r="I72" s="56"/>
      <c r="J72" s="1"/>
      <c r="K72" s="1"/>
    </row>
    <row r="73" ht="18.75" customHeight="1">
      <c r="A73" s="1"/>
      <c r="B73" s="59"/>
      <c r="C73" s="59"/>
      <c r="D73" s="59"/>
      <c r="E73" s="59"/>
      <c r="F73" s="68"/>
      <c r="G73" s="59"/>
      <c r="H73" s="59"/>
      <c r="I73" s="59"/>
      <c r="J73" s="1"/>
      <c r="K73" s="1"/>
    </row>
    <row r="74" ht="18.75" customHeight="1">
      <c r="A74" s="1"/>
      <c r="B74" s="56"/>
      <c r="C74" s="56"/>
      <c r="D74" s="56"/>
      <c r="E74" s="56"/>
      <c r="F74" s="69"/>
      <c r="G74" s="56"/>
      <c r="H74" s="56"/>
      <c r="I74" s="56"/>
      <c r="J74" s="1"/>
      <c r="K74" s="1"/>
    </row>
    <row r="75" ht="18.75" customHeight="1">
      <c r="A75" s="1"/>
      <c r="B75" s="59"/>
      <c r="C75" s="59"/>
      <c r="D75" s="59"/>
      <c r="E75" s="59"/>
      <c r="F75" s="68"/>
      <c r="G75" s="59"/>
      <c r="H75" s="59"/>
      <c r="I75" s="59"/>
      <c r="J75" s="1"/>
      <c r="K75" s="1"/>
    </row>
    <row r="76" ht="18.75" customHeight="1">
      <c r="A76" s="1"/>
      <c r="B76" s="56"/>
      <c r="C76" s="56"/>
      <c r="D76" s="56"/>
      <c r="E76" s="56"/>
      <c r="F76" s="69"/>
      <c r="G76" s="56"/>
      <c r="H76" s="56"/>
      <c r="I76" s="56"/>
      <c r="J76" s="1"/>
      <c r="K76" s="1"/>
    </row>
    <row r="77" ht="18.75" customHeight="1">
      <c r="A77" s="1"/>
      <c r="B77" s="59"/>
      <c r="C77" s="59"/>
      <c r="D77" s="59"/>
      <c r="E77" s="59"/>
      <c r="F77" s="68"/>
      <c r="G77" s="59"/>
      <c r="H77" s="59"/>
      <c r="I77" s="59"/>
      <c r="J77" s="1"/>
      <c r="K77" s="1"/>
    </row>
    <row r="78" ht="18.75" customHeight="1">
      <c r="A78" s="1"/>
      <c r="B78" s="56"/>
      <c r="C78" s="56"/>
      <c r="D78" s="56"/>
      <c r="E78" s="56"/>
      <c r="F78" s="69"/>
      <c r="G78" s="56"/>
      <c r="H78" s="56"/>
      <c r="I78" s="56"/>
      <c r="J78" s="1"/>
      <c r="K78" s="1"/>
    </row>
    <row r="79" ht="18.75" customHeight="1">
      <c r="A79" s="1"/>
      <c r="B79" s="59"/>
      <c r="C79" s="59"/>
      <c r="D79" s="59"/>
      <c r="E79" s="59"/>
      <c r="F79" s="68"/>
      <c r="G79" s="59"/>
      <c r="H79" s="59"/>
      <c r="I79" s="59"/>
      <c r="J79" s="1"/>
      <c r="K79" s="1"/>
    </row>
    <row r="80" ht="18.75" customHeight="1">
      <c r="A80" s="1"/>
      <c r="B80" s="56"/>
      <c r="C80" s="56"/>
      <c r="D80" s="56"/>
      <c r="E80" s="56"/>
      <c r="F80" s="69"/>
      <c r="G80" s="56"/>
      <c r="H80" s="56"/>
      <c r="I80" s="56"/>
      <c r="J80" s="1"/>
      <c r="K80" s="1"/>
    </row>
    <row r="81" ht="18.75" customHeight="1">
      <c r="A81" s="1"/>
      <c r="B81" s="59"/>
      <c r="C81" s="59"/>
      <c r="D81" s="59"/>
      <c r="E81" s="59"/>
      <c r="F81" s="68"/>
      <c r="G81" s="59"/>
      <c r="H81" s="59"/>
      <c r="I81" s="59"/>
      <c r="J81" s="1"/>
      <c r="K81" s="1"/>
    </row>
    <row r="82" ht="18.75" customHeight="1">
      <c r="A82" s="1"/>
      <c r="B82" s="56"/>
      <c r="C82" s="56"/>
      <c r="D82" s="56"/>
      <c r="E82" s="56"/>
      <c r="F82" s="69"/>
      <c r="G82" s="56"/>
      <c r="H82" s="56"/>
      <c r="I82" s="56"/>
      <c r="J82" s="1"/>
      <c r="K82" s="1"/>
    </row>
    <row r="83" ht="18.75" customHeight="1">
      <c r="A83" s="1"/>
      <c r="B83" s="59"/>
      <c r="C83" s="59"/>
      <c r="D83" s="59"/>
      <c r="E83" s="59"/>
      <c r="F83" s="68"/>
      <c r="G83" s="59"/>
      <c r="H83" s="59"/>
      <c r="I83" s="59"/>
      <c r="J83" s="1"/>
      <c r="K83" s="1"/>
    </row>
    <row r="84" ht="18.75" customHeight="1">
      <c r="A84" s="1"/>
      <c r="B84" s="56"/>
      <c r="C84" s="56"/>
      <c r="D84" s="56"/>
      <c r="E84" s="56"/>
      <c r="F84" s="69"/>
      <c r="G84" s="56"/>
      <c r="H84" s="56"/>
      <c r="I84" s="56"/>
      <c r="J84" s="1"/>
      <c r="K84" s="1"/>
    </row>
    <row r="85" ht="18.75" customHeight="1">
      <c r="A85" s="1"/>
      <c r="B85" s="59"/>
      <c r="C85" s="59"/>
      <c r="D85" s="59"/>
      <c r="E85" s="59"/>
      <c r="F85" s="68"/>
      <c r="G85" s="59"/>
      <c r="H85" s="59"/>
      <c r="I85" s="59"/>
      <c r="J85" s="1"/>
      <c r="K85" s="1"/>
    </row>
    <row r="86" ht="18.75" customHeight="1">
      <c r="A86" s="1"/>
      <c r="B86" s="56"/>
      <c r="C86" s="56"/>
      <c r="D86" s="56"/>
      <c r="E86" s="56"/>
      <c r="F86" s="69"/>
      <c r="G86" s="56"/>
      <c r="H86" s="56"/>
      <c r="I86" s="56"/>
      <c r="J86" s="1"/>
      <c r="K86" s="1"/>
    </row>
    <row r="87" ht="18.75" customHeight="1">
      <c r="A87" s="1"/>
      <c r="B87" s="59"/>
      <c r="C87" s="59"/>
      <c r="D87" s="59"/>
      <c r="E87" s="59"/>
      <c r="F87" s="68"/>
      <c r="G87" s="59"/>
      <c r="H87" s="59"/>
      <c r="I87" s="59"/>
      <c r="J87" s="1"/>
      <c r="K87" s="1"/>
    </row>
    <row r="88" ht="18.75" customHeight="1">
      <c r="A88" s="1"/>
      <c r="B88" s="56"/>
      <c r="C88" s="56"/>
      <c r="D88" s="56"/>
      <c r="E88" s="56"/>
      <c r="F88" s="69"/>
      <c r="G88" s="56"/>
      <c r="H88" s="56"/>
      <c r="I88" s="56"/>
      <c r="J88" s="1"/>
      <c r="K88" s="1"/>
    </row>
    <row r="89" ht="18.75" customHeight="1">
      <c r="A89" s="1"/>
      <c r="B89" s="59"/>
      <c r="C89" s="59"/>
      <c r="D89" s="59"/>
      <c r="E89" s="59"/>
      <c r="F89" s="68"/>
      <c r="G89" s="59"/>
      <c r="H89" s="59"/>
      <c r="I89" s="59"/>
      <c r="J89" s="1"/>
      <c r="K89" s="1"/>
    </row>
    <row r="90" ht="18.75" customHeight="1">
      <c r="A90" s="1"/>
      <c r="B90" s="56"/>
      <c r="C90" s="56"/>
      <c r="D90" s="56"/>
      <c r="E90" s="56"/>
      <c r="F90" s="69"/>
      <c r="G90" s="56"/>
      <c r="H90" s="56"/>
      <c r="I90" s="56"/>
      <c r="J90" s="1"/>
      <c r="K90" s="1"/>
    </row>
    <row r="91" ht="18.75" customHeight="1">
      <c r="A91" s="1"/>
      <c r="B91" s="59"/>
      <c r="C91" s="59"/>
      <c r="D91" s="59"/>
      <c r="E91" s="59"/>
      <c r="F91" s="68"/>
      <c r="G91" s="59"/>
      <c r="H91" s="59"/>
      <c r="I91" s="59"/>
      <c r="J91" s="1"/>
      <c r="K91" s="1"/>
    </row>
    <row r="92" ht="18.75" customHeight="1">
      <c r="A92" s="1"/>
      <c r="B92" s="56"/>
      <c r="C92" s="56"/>
      <c r="D92" s="56"/>
      <c r="E92" s="56"/>
      <c r="F92" s="69"/>
      <c r="G92" s="56"/>
      <c r="H92" s="56"/>
      <c r="I92" s="56"/>
      <c r="J92" s="1"/>
      <c r="K92" s="1"/>
    </row>
    <row r="93" ht="18.75" customHeight="1">
      <c r="A93" s="1"/>
      <c r="B93" s="59"/>
      <c r="C93" s="59"/>
      <c r="D93" s="59"/>
      <c r="E93" s="59"/>
      <c r="F93" s="68"/>
      <c r="G93" s="59"/>
      <c r="H93" s="59"/>
      <c r="I93" s="59"/>
      <c r="J93" s="1"/>
      <c r="K93" s="1"/>
    </row>
    <row r="94" ht="18.75" customHeight="1">
      <c r="A94" s="1"/>
      <c r="B94" s="56"/>
      <c r="C94" s="56"/>
      <c r="D94" s="56"/>
      <c r="E94" s="56"/>
      <c r="F94" s="69"/>
      <c r="G94" s="56"/>
      <c r="H94" s="56"/>
      <c r="I94" s="56"/>
      <c r="J94" s="1"/>
      <c r="K94" s="1"/>
    </row>
    <row r="95" ht="18.75" customHeight="1">
      <c r="A95" s="1"/>
      <c r="B95" s="59"/>
      <c r="C95" s="59"/>
      <c r="D95" s="59"/>
      <c r="E95" s="59"/>
      <c r="F95" s="68"/>
      <c r="G95" s="59"/>
      <c r="H95" s="59"/>
      <c r="I95" s="59"/>
      <c r="J95" s="1"/>
      <c r="K95" s="1"/>
    </row>
    <row r="96" ht="18.75" customHeight="1">
      <c r="A96" s="1"/>
      <c r="B96" s="56"/>
      <c r="C96" s="56"/>
      <c r="D96" s="56"/>
      <c r="E96" s="56"/>
      <c r="F96" s="69"/>
      <c r="G96" s="56"/>
      <c r="H96" s="56"/>
      <c r="I96" s="56"/>
      <c r="J96" s="1"/>
      <c r="K96" s="1"/>
    </row>
    <row r="97" ht="18.75" customHeight="1">
      <c r="A97" s="1"/>
      <c r="B97" s="59"/>
      <c r="C97" s="59"/>
      <c r="D97" s="59"/>
      <c r="E97" s="59"/>
      <c r="F97" s="68"/>
      <c r="G97" s="59"/>
      <c r="H97" s="59"/>
      <c r="I97" s="59"/>
      <c r="J97" s="1"/>
      <c r="K97" s="1"/>
    </row>
    <row r="98" ht="18.75" customHeight="1">
      <c r="A98" s="1"/>
      <c r="B98" s="56"/>
      <c r="C98" s="56"/>
      <c r="D98" s="56"/>
      <c r="E98" s="56"/>
      <c r="F98" s="69"/>
      <c r="G98" s="56"/>
      <c r="H98" s="56"/>
      <c r="I98" s="56"/>
      <c r="J98" s="1"/>
      <c r="K98" s="1"/>
    </row>
    <row r="99" ht="18.75" customHeight="1">
      <c r="A99" s="1"/>
      <c r="B99" s="59"/>
      <c r="C99" s="59"/>
      <c r="D99" s="59"/>
      <c r="E99" s="59"/>
      <c r="F99" s="68"/>
      <c r="G99" s="59"/>
      <c r="H99" s="59"/>
      <c r="I99" s="59"/>
      <c r="J99" s="1"/>
      <c r="K99" s="1"/>
    </row>
    <row r="100" ht="18.75" customHeight="1">
      <c r="A100" s="1"/>
      <c r="B100" s="56"/>
      <c r="C100" s="56"/>
      <c r="D100" s="56"/>
      <c r="E100" s="56"/>
      <c r="F100" s="69"/>
      <c r="G100" s="56"/>
      <c r="H100" s="56"/>
      <c r="I100" s="56"/>
      <c r="J100" s="1"/>
      <c r="K100" s="1"/>
    </row>
    <row r="101" ht="18.75" customHeight="1">
      <c r="A101" s="1"/>
      <c r="B101" s="59"/>
      <c r="C101" s="59"/>
      <c r="D101" s="59"/>
      <c r="E101" s="59"/>
      <c r="F101" s="68"/>
      <c r="G101" s="59"/>
      <c r="H101" s="59"/>
      <c r="I101" s="59"/>
      <c r="J101" s="1"/>
      <c r="K101" s="1"/>
    </row>
    <row r="102" ht="18.75" customHeight="1">
      <c r="A102" s="1"/>
      <c r="B102" s="56"/>
      <c r="C102" s="56"/>
      <c r="D102" s="56"/>
      <c r="E102" s="56"/>
      <c r="F102" s="69"/>
      <c r="G102" s="56"/>
      <c r="H102" s="56"/>
      <c r="I102" s="56"/>
      <c r="J102" s="1"/>
      <c r="K102" s="1"/>
    </row>
    <row r="103" ht="18.75" customHeight="1">
      <c r="A103" s="1"/>
      <c r="B103" s="59"/>
      <c r="C103" s="59"/>
      <c r="D103" s="59"/>
      <c r="E103" s="59"/>
      <c r="F103" s="68"/>
      <c r="G103" s="59"/>
      <c r="H103" s="59"/>
      <c r="I103" s="59"/>
      <c r="J103" s="1"/>
      <c r="K103" s="1"/>
    </row>
    <row r="104" ht="18.75" customHeight="1">
      <c r="A104" s="1"/>
      <c r="B104" s="56"/>
      <c r="C104" s="56"/>
      <c r="D104" s="56"/>
      <c r="E104" s="56"/>
      <c r="F104" s="69"/>
      <c r="G104" s="56"/>
      <c r="H104" s="56"/>
      <c r="I104" s="56"/>
      <c r="J104" s="1"/>
      <c r="K104" s="1"/>
    </row>
    <row r="105" ht="18.75" customHeight="1">
      <c r="A105" s="1"/>
      <c r="B105" s="59"/>
      <c r="C105" s="59"/>
      <c r="D105" s="59"/>
      <c r="E105" s="59"/>
      <c r="F105" s="68"/>
      <c r="G105" s="59"/>
      <c r="H105" s="59"/>
      <c r="I105" s="59"/>
      <c r="J105" s="1"/>
      <c r="K105" s="1"/>
    </row>
    <row r="106" ht="18.75" customHeight="1">
      <c r="A106" s="1"/>
      <c r="B106" s="56"/>
      <c r="C106" s="56"/>
      <c r="D106" s="56"/>
      <c r="E106" s="56"/>
      <c r="F106" s="69"/>
      <c r="G106" s="56"/>
      <c r="H106" s="56"/>
      <c r="I106" s="56"/>
      <c r="J106" s="1"/>
      <c r="K106" s="1"/>
    </row>
    <row r="107" ht="18.75" customHeight="1">
      <c r="A107" s="1"/>
      <c r="B107" s="59"/>
      <c r="C107" s="59"/>
      <c r="D107" s="59"/>
      <c r="E107" s="59"/>
      <c r="F107" s="68"/>
      <c r="G107" s="59"/>
      <c r="H107" s="59"/>
      <c r="I107" s="59"/>
      <c r="J107" s="1"/>
      <c r="K107" s="1"/>
    </row>
    <row r="108" ht="18.75" customHeight="1">
      <c r="A108" s="1"/>
      <c r="B108" s="70" t="s">
        <v>97</v>
      </c>
      <c r="C108" s="7"/>
      <c r="D108" s="7"/>
      <c r="E108" s="7"/>
      <c r="F108" s="71">
        <f>SUM(E8:E107)</f>
        <v>0</v>
      </c>
      <c r="G108" s="1"/>
      <c r="H108" s="1"/>
      <c r="I108" s="1"/>
      <c r="J108" s="1"/>
      <c r="K108" s="1"/>
    </row>
    <row r="109" ht="18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ht="18.75" customHeight="1">
      <c r="A110" s="1"/>
      <c r="B110" s="72" t="s">
        <v>98</v>
      </c>
      <c r="C110" s="7"/>
      <c r="D110" s="7"/>
      <c r="E110" s="7"/>
      <c r="F110" s="7"/>
      <c r="G110" s="7"/>
      <c r="H110" s="7"/>
      <c r="I110" s="1"/>
      <c r="J110" s="1"/>
      <c r="K110" s="1"/>
    </row>
    <row r="111" ht="18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ht="18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ht="18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ht="18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ht="18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ht="18.75" customHeight="1">
      <c r="A116" s="4"/>
      <c r="B116" s="4"/>
      <c r="C116" s="4"/>
      <c r="D116" s="4"/>
      <c r="E116" s="48"/>
      <c r="F116" s="4"/>
      <c r="G116" s="48"/>
      <c r="H116" s="4"/>
      <c r="I116" s="4"/>
    </row>
    <row r="117" ht="18.75" customHeight="1">
      <c r="A117" s="4"/>
      <c r="B117" s="4"/>
      <c r="C117" s="4"/>
      <c r="D117" s="4"/>
      <c r="E117" s="48"/>
      <c r="F117" s="4"/>
      <c r="G117" s="48"/>
      <c r="H117" s="4"/>
      <c r="I117" s="4"/>
    </row>
    <row r="118" ht="18.75" customHeight="1">
      <c r="A118" s="4"/>
      <c r="B118" s="4"/>
      <c r="C118" s="4"/>
      <c r="D118" s="4"/>
      <c r="E118" s="48"/>
      <c r="F118" s="4"/>
      <c r="G118" s="48"/>
      <c r="H118" s="4"/>
      <c r="I118" s="4"/>
    </row>
    <row r="119" ht="18.75" customHeight="1">
      <c r="A119" s="4"/>
      <c r="B119" s="4"/>
      <c r="C119" s="4"/>
      <c r="D119" s="4"/>
      <c r="E119" s="48"/>
      <c r="F119" s="4"/>
      <c r="G119" s="48"/>
      <c r="H119" s="4"/>
      <c r="I119" s="4"/>
    </row>
    <row r="120" ht="15.75" customHeight="1">
      <c r="A120" s="4"/>
      <c r="B120" s="4"/>
      <c r="C120" s="4"/>
      <c r="D120" s="4"/>
      <c r="E120" s="48"/>
      <c r="F120" s="4"/>
      <c r="G120" s="48"/>
      <c r="H120" s="4"/>
      <c r="I120" s="4"/>
    </row>
    <row r="121" ht="15.75" customHeight="1">
      <c r="A121" s="4"/>
      <c r="B121" s="4"/>
      <c r="C121" s="4"/>
      <c r="D121" s="4"/>
      <c r="E121" s="48"/>
      <c r="F121" s="4"/>
      <c r="G121" s="48"/>
      <c r="H121" s="4"/>
      <c r="I121" s="4"/>
    </row>
    <row r="122" ht="15.75" customHeight="1">
      <c r="A122" s="4"/>
      <c r="B122" s="4"/>
      <c r="C122" s="4"/>
      <c r="D122" s="4"/>
      <c r="E122" s="48"/>
      <c r="F122" s="4"/>
      <c r="G122" s="48"/>
      <c r="H122" s="4"/>
      <c r="I122" s="4"/>
    </row>
    <row r="123" ht="15.75" customHeight="1">
      <c r="A123" s="4"/>
      <c r="B123" s="4"/>
      <c r="C123" s="4"/>
      <c r="D123" s="4"/>
      <c r="E123" s="48"/>
      <c r="F123" s="4"/>
      <c r="G123" s="48"/>
      <c r="H123" s="4"/>
      <c r="I123" s="4"/>
    </row>
    <row r="124" ht="15.75" customHeight="1">
      <c r="A124" s="4"/>
      <c r="B124" s="4"/>
      <c r="C124" s="4"/>
      <c r="D124" s="4"/>
      <c r="E124" s="48"/>
      <c r="F124" s="4"/>
      <c r="G124" s="48"/>
      <c r="H124" s="4"/>
      <c r="I124" s="4"/>
    </row>
    <row r="125" ht="15.75" customHeight="1">
      <c r="A125" s="4"/>
      <c r="B125" s="4"/>
      <c r="C125" s="4"/>
      <c r="D125" s="4"/>
      <c r="E125" s="48"/>
      <c r="F125" s="4"/>
      <c r="G125" s="48"/>
      <c r="H125" s="4"/>
      <c r="I125" s="4"/>
    </row>
    <row r="126" ht="15.75" customHeight="1">
      <c r="A126" s="4"/>
      <c r="B126" s="4"/>
      <c r="C126" s="4"/>
      <c r="D126" s="4"/>
      <c r="E126" s="48"/>
      <c r="F126" s="4"/>
      <c r="G126" s="48"/>
      <c r="H126" s="4"/>
      <c r="I126" s="4"/>
    </row>
    <row r="127" ht="15.75" customHeight="1">
      <c r="A127" s="4"/>
      <c r="B127" s="4"/>
      <c r="C127" s="4"/>
      <c r="D127" s="4"/>
      <c r="E127" s="48"/>
      <c r="F127" s="4"/>
      <c r="G127" s="48"/>
      <c r="H127" s="4"/>
      <c r="I127" s="4"/>
    </row>
    <row r="128" ht="15.75" customHeight="1">
      <c r="A128" s="4"/>
      <c r="B128" s="4"/>
      <c r="C128" s="4"/>
      <c r="D128" s="4"/>
      <c r="E128" s="48"/>
      <c r="F128" s="4"/>
      <c r="G128" s="48"/>
      <c r="H128" s="4"/>
      <c r="I128" s="4"/>
    </row>
    <row r="129" ht="15.75" customHeight="1">
      <c r="A129" s="4"/>
      <c r="B129" s="4"/>
      <c r="C129" s="4"/>
      <c r="D129" s="4"/>
      <c r="E129" s="48"/>
      <c r="F129" s="4"/>
      <c r="G129" s="48"/>
      <c r="H129" s="4"/>
      <c r="I129" s="4"/>
    </row>
    <row r="130" ht="15.75" customHeight="1">
      <c r="A130" s="4"/>
      <c r="B130" s="4"/>
      <c r="C130" s="4"/>
      <c r="D130" s="4"/>
      <c r="E130" s="48"/>
      <c r="F130" s="4"/>
      <c r="G130" s="48"/>
      <c r="H130" s="4"/>
      <c r="I130" s="4"/>
    </row>
    <row r="131" ht="15.75" customHeight="1">
      <c r="A131" s="4"/>
      <c r="B131" s="4"/>
      <c r="C131" s="4"/>
      <c r="D131" s="4"/>
      <c r="E131" s="48"/>
      <c r="F131" s="4"/>
      <c r="G131" s="48"/>
      <c r="H131" s="4"/>
      <c r="I131" s="4"/>
    </row>
    <row r="132" ht="15.75" customHeight="1">
      <c r="A132" s="4"/>
      <c r="B132" s="4"/>
      <c r="C132" s="4"/>
      <c r="D132" s="4"/>
      <c r="E132" s="48"/>
      <c r="F132" s="4"/>
      <c r="G132" s="48"/>
      <c r="H132" s="4"/>
      <c r="I132" s="4"/>
    </row>
    <row r="133" ht="15.75" customHeight="1">
      <c r="A133" s="4"/>
      <c r="B133" s="4"/>
      <c r="C133" s="4"/>
      <c r="D133" s="4"/>
      <c r="E133" s="48"/>
      <c r="F133" s="4"/>
      <c r="G133" s="48"/>
      <c r="H133" s="4"/>
      <c r="I133" s="4"/>
    </row>
    <row r="134" ht="15.75" customHeight="1">
      <c r="A134" s="4"/>
      <c r="B134" s="4"/>
      <c r="C134" s="4"/>
      <c r="D134" s="4"/>
      <c r="E134" s="48"/>
      <c r="F134" s="4"/>
      <c r="G134" s="48"/>
      <c r="H134" s="4"/>
      <c r="I134" s="4"/>
    </row>
    <row r="135" ht="15.75" customHeight="1">
      <c r="A135" s="4"/>
      <c r="B135" s="4"/>
      <c r="C135" s="4"/>
      <c r="D135" s="4"/>
      <c r="E135" s="48"/>
      <c r="F135" s="4"/>
      <c r="G135" s="48"/>
      <c r="H135" s="4"/>
      <c r="I135" s="4"/>
    </row>
    <row r="136" ht="15.75" customHeight="1">
      <c r="A136" s="4"/>
      <c r="B136" s="4"/>
      <c r="C136" s="4"/>
      <c r="D136" s="4"/>
      <c r="E136" s="48"/>
      <c r="F136" s="4"/>
      <c r="G136" s="48"/>
      <c r="H136" s="4"/>
      <c r="I136" s="4"/>
    </row>
    <row r="137" ht="15.75" customHeight="1">
      <c r="A137" s="4"/>
      <c r="B137" s="4"/>
      <c r="C137" s="4"/>
      <c r="D137" s="4"/>
      <c r="E137" s="48"/>
      <c r="F137" s="4"/>
      <c r="G137" s="48"/>
      <c r="H137" s="4"/>
      <c r="I137" s="4"/>
    </row>
    <row r="138" ht="15.75" customHeight="1">
      <c r="A138" s="4"/>
      <c r="B138" s="4"/>
      <c r="C138" s="4"/>
      <c r="D138" s="4"/>
      <c r="E138" s="48"/>
      <c r="F138" s="4"/>
      <c r="G138" s="48"/>
      <c r="H138" s="4"/>
      <c r="I138" s="4"/>
    </row>
    <row r="139" ht="15.75" customHeight="1">
      <c r="A139" s="4"/>
      <c r="B139" s="4"/>
      <c r="C139" s="4"/>
      <c r="D139" s="4"/>
      <c r="E139" s="48"/>
      <c r="F139" s="4"/>
      <c r="G139" s="48"/>
      <c r="H139" s="4"/>
      <c r="I139" s="4"/>
    </row>
    <row r="140" ht="15.75" customHeight="1">
      <c r="A140" s="4"/>
      <c r="B140" s="4"/>
      <c r="C140" s="4"/>
      <c r="D140" s="4"/>
      <c r="E140" s="48"/>
      <c r="F140" s="4"/>
      <c r="G140" s="48"/>
      <c r="H140" s="4"/>
      <c r="I140" s="4"/>
    </row>
    <row r="141" ht="15.75" customHeight="1">
      <c r="A141" s="4"/>
      <c r="B141" s="4"/>
      <c r="C141" s="4"/>
      <c r="D141" s="4"/>
      <c r="E141" s="48"/>
      <c r="F141" s="4"/>
      <c r="G141" s="48"/>
      <c r="H141" s="4"/>
      <c r="I141" s="4"/>
    </row>
    <row r="142" ht="15.75" customHeight="1">
      <c r="A142" s="4"/>
      <c r="B142" s="4"/>
      <c r="C142" s="4"/>
      <c r="D142" s="4"/>
      <c r="E142" s="48"/>
      <c r="F142" s="4"/>
      <c r="G142" s="48"/>
      <c r="H142" s="4"/>
      <c r="I142" s="4"/>
    </row>
    <row r="143" ht="15.75" customHeight="1">
      <c r="A143" s="4"/>
      <c r="B143" s="4"/>
      <c r="C143" s="4"/>
      <c r="D143" s="4"/>
      <c r="E143" s="48"/>
      <c r="F143" s="4"/>
      <c r="G143" s="48"/>
      <c r="H143" s="4"/>
      <c r="I143" s="4"/>
    </row>
    <row r="144" ht="15.75" customHeight="1">
      <c r="A144" s="4"/>
      <c r="B144" s="4"/>
      <c r="C144" s="4"/>
      <c r="D144" s="4"/>
      <c r="E144" s="48"/>
      <c r="F144" s="4"/>
      <c r="G144" s="48"/>
      <c r="H144" s="4"/>
      <c r="I144" s="4"/>
    </row>
    <row r="145" ht="15.75" customHeight="1">
      <c r="A145" s="4"/>
      <c r="B145" s="4"/>
      <c r="C145" s="4"/>
      <c r="D145" s="4"/>
      <c r="E145" s="48"/>
      <c r="F145" s="4"/>
      <c r="G145" s="48"/>
      <c r="H145" s="4"/>
      <c r="I145" s="4"/>
    </row>
    <row r="146" ht="15.75" customHeight="1">
      <c r="A146" s="4"/>
      <c r="B146" s="4"/>
      <c r="C146" s="4"/>
      <c r="D146" s="4"/>
      <c r="E146" s="48"/>
      <c r="F146" s="4"/>
      <c r="G146" s="48"/>
      <c r="H146" s="4"/>
      <c r="I146" s="4"/>
    </row>
    <row r="147" ht="15.75" customHeight="1">
      <c r="A147" s="4"/>
      <c r="B147" s="4"/>
      <c r="C147" s="4"/>
      <c r="D147" s="4"/>
      <c r="E147" s="48"/>
      <c r="F147" s="4"/>
      <c r="G147" s="48"/>
      <c r="H147" s="4"/>
      <c r="I147" s="4"/>
    </row>
    <row r="148" ht="15.75" customHeight="1">
      <c r="A148" s="4"/>
      <c r="B148" s="4"/>
      <c r="C148" s="4"/>
      <c r="D148" s="4"/>
      <c r="E148" s="48"/>
      <c r="F148" s="4"/>
      <c r="G148" s="48"/>
      <c r="H148" s="4"/>
      <c r="I148" s="4"/>
    </row>
    <row r="149" ht="15.75" customHeight="1">
      <c r="A149" s="4"/>
      <c r="B149" s="4"/>
      <c r="C149" s="4"/>
      <c r="D149" s="4"/>
      <c r="E149" s="48"/>
      <c r="F149" s="4"/>
      <c r="G149" s="48"/>
      <c r="H149" s="4"/>
      <c r="I149" s="4"/>
    </row>
    <row r="150" ht="15.75" customHeight="1">
      <c r="A150" s="4"/>
      <c r="B150" s="4"/>
      <c r="C150" s="4"/>
      <c r="D150" s="4"/>
      <c r="E150" s="48"/>
      <c r="F150" s="4"/>
      <c r="G150" s="48"/>
      <c r="H150" s="4"/>
      <c r="I150" s="4"/>
    </row>
    <row r="151" ht="15.75" customHeight="1">
      <c r="A151" s="4"/>
      <c r="B151" s="4"/>
      <c r="C151" s="4"/>
      <c r="D151" s="4"/>
      <c r="E151" s="48"/>
      <c r="F151" s="4"/>
      <c r="G151" s="48"/>
      <c r="H151" s="4"/>
      <c r="I151" s="4"/>
    </row>
    <row r="152" ht="15.75" customHeight="1">
      <c r="A152" s="4"/>
      <c r="B152" s="4"/>
      <c r="C152" s="4"/>
      <c r="D152" s="4"/>
      <c r="E152" s="48"/>
      <c r="F152" s="4"/>
      <c r="G152" s="48"/>
      <c r="H152" s="4"/>
      <c r="I152" s="4"/>
    </row>
    <row r="153" ht="15.75" customHeight="1">
      <c r="A153" s="4"/>
      <c r="B153" s="4"/>
      <c r="C153" s="4"/>
      <c r="D153" s="4"/>
      <c r="E153" s="48"/>
      <c r="F153" s="4"/>
      <c r="G153" s="48"/>
      <c r="H153" s="4"/>
      <c r="I153" s="4"/>
    </row>
    <row r="154" ht="15.75" customHeight="1">
      <c r="A154" s="4"/>
      <c r="B154" s="4"/>
      <c r="C154" s="4"/>
      <c r="D154" s="4"/>
      <c r="E154" s="48"/>
      <c r="F154" s="4"/>
      <c r="G154" s="48"/>
      <c r="H154" s="4"/>
      <c r="I154" s="4"/>
    </row>
    <row r="155" ht="15.75" customHeight="1">
      <c r="A155" s="4"/>
      <c r="B155" s="4"/>
      <c r="C155" s="4"/>
      <c r="D155" s="4"/>
      <c r="E155" s="48"/>
      <c r="F155" s="4"/>
      <c r="G155" s="48"/>
      <c r="H155" s="4"/>
      <c r="I155" s="4"/>
    </row>
    <row r="156" ht="15.75" customHeight="1">
      <c r="A156" s="4"/>
      <c r="B156" s="4"/>
      <c r="C156" s="4"/>
      <c r="D156" s="4"/>
      <c r="E156" s="48"/>
      <c r="F156" s="4"/>
      <c r="G156" s="48"/>
      <c r="H156" s="4"/>
      <c r="I156" s="4"/>
    </row>
    <row r="157" ht="15.75" customHeight="1">
      <c r="A157" s="4"/>
      <c r="B157" s="4"/>
      <c r="C157" s="4"/>
      <c r="D157" s="4"/>
      <c r="E157" s="48"/>
      <c r="F157" s="4"/>
      <c r="G157" s="48"/>
      <c r="H157" s="4"/>
      <c r="I157" s="4"/>
    </row>
    <row r="158" ht="15.75" customHeight="1">
      <c r="A158" s="4"/>
      <c r="B158" s="4"/>
      <c r="C158" s="4"/>
      <c r="D158" s="4"/>
      <c r="E158" s="48"/>
      <c r="F158" s="4"/>
      <c r="G158" s="48"/>
      <c r="H158" s="4"/>
      <c r="I158" s="4"/>
    </row>
    <row r="159" ht="15.75" customHeight="1">
      <c r="A159" s="4"/>
      <c r="B159" s="4"/>
      <c r="C159" s="4"/>
      <c r="D159" s="4"/>
      <c r="E159" s="48"/>
      <c r="F159" s="4"/>
      <c r="G159" s="48"/>
      <c r="H159" s="4"/>
      <c r="I159" s="4"/>
    </row>
    <row r="160" ht="15.75" customHeight="1">
      <c r="A160" s="4"/>
      <c r="B160" s="4"/>
      <c r="C160" s="4"/>
      <c r="D160" s="4"/>
      <c r="E160" s="48"/>
      <c r="F160" s="4"/>
      <c r="G160" s="48"/>
      <c r="H160" s="4"/>
      <c r="I160" s="4"/>
    </row>
    <row r="161" ht="15.75" customHeight="1">
      <c r="A161" s="4"/>
      <c r="B161" s="4"/>
      <c r="C161" s="4"/>
      <c r="D161" s="4"/>
      <c r="E161" s="48"/>
      <c r="F161" s="4"/>
      <c r="G161" s="48"/>
      <c r="H161" s="4"/>
      <c r="I161" s="4"/>
    </row>
    <row r="162" ht="15.75" customHeight="1">
      <c r="A162" s="4"/>
      <c r="B162" s="4"/>
      <c r="C162" s="4"/>
      <c r="D162" s="4"/>
      <c r="E162" s="48"/>
      <c r="F162" s="4"/>
      <c r="G162" s="48"/>
      <c r="H162" s="4"/>
      <c r="I162" s="4"/>
    </row>
    <row r="163" ht="15.75" customHeight="1">
      <c r="A163" s="4"/>
      <c r="B163" s="4"/>
      <c r="C163" s="4"/>
      <c r="D163" s="4"/>
      <c r="E163" s="48"/>
      <c r="F163" s="4"/>
      <c r="G163" s="48"/>
      <c r="H163" s="4"/>
      <c r="I163" s="4"/>
    </row>
    <row r="164" ht="15.75" customHeight="1">
      <c r="A164" s="4"/>
      <c r="B164" s="4"/>
      <c r="C164" s="4"/>
      <c r="D164" s="4"/>
      <c r="E164" s="48"/>
      <c r="F164" s="4"/>
      <c r="G164" s="48"/>
      <c r="H164" s="4"/>
      <c r="I164" s="4"/>
    </row>
    <row r="165" ht="15.75" customHeight="1">
      <c r="A165" s="4"/>
      <c r="B165" s="4"/>
      <c r="C165" s="4"/>
      <c r="D165" s="4"/>
      <c r="E165" s="48"/>
      <c r="F165" s="4"/>
      <c r="G165" s="48"/>
      <c r="H165" s="4"/>
      <c r="I165" s="4"/>
    </row>
    <row r="166" ht="15.75" customHeight="1">
      <c r="A166" s="4"/>
      <c r="B166" s="4"/>
      <c r="C166" s="4"/>
      <c r="D166" s="4"/>
      <c r="E166" s="48"/>
      <c r="F166" s="4"/>
      <c r="G166" s="48"/>
      <c r="H166" s="4"/>
      <c r="I166" s="4"/>
    </row>
    <row r="167" ht="15.75" customHeight="1">
      <c r="A167" s="4"/>
      <c r="B167" s="4"/>
      <c r="C167" s="4"/>
      <c r="D167" s="4"/>
      <c r="E167" s="48"/>
      <c r="F167" s="4"/>
      <c r="G167" s="48"/>
      <c r="H167" s="4"/>
      <c r="I167" s="4"/>
    </row>
    <row r="168" ht="15.75" customHeight="1">
      <c r="A168" s="4"/>
      <c r="B168" s="4"/>
      <c r="C168" s="4"/>
      <c r="D168" s="4"/>
      <c r="E168" s="48"/>
      <c r="F168" s="4"/>
      <c r="G168" s="48"/>
      <c r="H168" s="4"/>
      <c r="I168" s="4"/>
    </row>
    <row r="169" ht="15.75" customHeight="1">
      <c r="A169" s="4"/>
      <c r="B169" s="4"/>
      <c r="C169" s="4"/>
      <c r="D169" s="4"/>
      <c r="E169" s="48"/>
      <c r="F169" s="4"/>
      <c r="G169" s="48"/>
      <c r="H169" s="4"/>
      <c r="I169" s="4"/>
    </row>
    <row r="170" ht="15.75" customHeight="1">
      <c r="A170" s="4"/>
      <c r="B170" s="4"/>
      <c r="C170" s="4"/>
      <c r="D170" s="4"/>
      <c r="E170" s="48"/>
      <c r="F170" s="4"/>
      <c r="G170" s="48"/>
      <c r="H170" s="4"/>
      <c r="I170" s="4"/>
    </row>
    <row r="171" ht="15.75" customHeight="1">
      <c r="A171" s="4"/>
      <c r="B171" s="4"/>
      <c r="C171" s="4"/>
      <c r="D171" s="4"/>
      <c r="E171" s="48"/>
      <c r="F171" s="4"/>
      <c r="G171" s="48"/>
      <c r="H171" s="4"/>
      <c r="I171" s="4"/>
    </row>
    <row r="172" ht="15.75" customHeight="1">
      <c r="A172" s="4"/>
      <c r="B172" s="4"/>
      <c r="C172" s="4"/>
      <c r="D172" s="4"/>
      <c r="E172" s="48"/>
      <c r="F172" s="4"/>
      <c r="G172" s="48"/>
      <c r="H172" s="4"/>
      <c r="I172" s="4"/>
    </row>
    <row r="173" ht="15.75" customHeight="1">
      <c r="A173" s="4"/>
      <c r="B173" s="4"/>
      <c r="C173" s="4"/>
      <c r="D173" s="4"/>
      <c r="E173" s="48"/>
      <c r="F173" s="4"/>
      <c r="G173" s="48"/>
      <c r="H173" s="4"/>
      <c r="I173" s="4"/>
    </row>
    <row r="174" ht="15.75" customHeight="1">
      <c r="A174" s="4"/>
      <c r="B174" s="4"/>
      <c r="C174" s="4"/>
      <c r="D174" s="4"/>
      <c r="E174" s="48"/>
      <c r="F174" s="4"/>
      <c r="G174" s="48"/>
      <c r="H174" s="4"/>
      <c r="I174" s="4"/>
    </row>
    <row r="175" ht="15.75" customHeight="1">
      <c r="A175" s="4"/>
      <c r="B175" s="4"/>
      <c r="C175" s="4"/>
      <c r="D175" s="4"/>
      <c r="E175" s="48"/>
      <c r="F175" s="4"/>
      <c r="G175" s="48"/>
      <c r="H175" s="4"/>
      <c r="I175" s="4"/>
    </row>
    <row r="176" ht="15.75" customHeight="1">
      <c r="A176" s="4"/>
      <c r="B176" s="4"/>
      <c r="C176" s="4"/>
      <c r="D176" s="4"/>
      <c r="E176" s="48"/>
      <c r="F176" s="4"/>
      <c r="G176" s="48"/>
      <c r="H176" s="4"/>
      <c r="I176" s="4"/>
    </row>
    <row r="177" ht="15.75" customHeight="1">
      <c r="A177" s="4"/>
      <c r="B177" s="4"/>
      <c r="C177" s="4"/>
      <c r="D177" s="4"/>
      <c r="E177" s="48"/>
      <c r="F177" s="4"/>
      <c r="G177" s="48"/>
      <c r="H177" s="4"/>
      <c r="I177" s="4"/>
    </row>
    <row r="178" ht="15.75" customHeight="1">
      <c r="A178" s="4"/>
      <c r="B178" s="4"/>
      <c r="C178" s="4"/>
      <c r="D178" s="4"/>
      <c r="E178" s="48"/>
      <c r="F178" s="4"/>
      <c r="G178" s="48"/>
      <c r="H178" s="4"/>
      <c r="I178" s="4"/>
    </row>
    <row r="179" ht="15.75" customHeight="1">
      <c r="A179" s="4"/>
      <c r="B179" s="4"/>
      <c r="C179" s="4"/>
      <c r="D179" s="4"/>
      <c r="E179" s="48"/>
      <c r="F179" s="4"/>
      <c r="G179" s="48"/>
      <c r="H179" s="4"/>
      <c r="I179" s="4"/>
    </row>
    <row r="180" ht="15.75" customHeight="1">
      <c r="A180" s="4"/>
      <c r="B180" s="4"/>
      <c r="C180" s="4"/>
      <c r="D180" s="4"/>
      <c r="E180" s="48"/>
      <c r="F180" s="4"/>
      <c r="G180" s="48"/>
      <c r="H180" s="4"/>
      <c r="I180" s="4"/>
    </row>
    <row r="181" ht="15.75" customHeight="1">
      <c r="A181" s="4"/>
      <c r="B181" s="4"/>
      <c r="C181" s="4"/>
      <c r="D181" s="4"/>
      <c r="E181" s="48"/>
      <c r="F181" s="4"/>
      <c r="G181" s="48"/>
      <c r="H181" s="4"/>
      <c r="I181" s="4"/>
    </row>
    <row r="182" ht="15.75" customHeight="1">
      <c r="A182" s="4"/>
      <c r="B182" s="4"/>
      <c r="C182" s="4"/>
      <c r="D182" s="4"/>
      <c r="E182" s="48"/>
      <c r="F182" s="4"/>
      <c r="G182" s="48"/>
      <c r="H182" s="4"/>
      <c r="I182" s="4"/>
    </row>
    <row r="183" ht="15.75" customHeight="1">
      <c r="A183" s="4"/>
      <c r="B183" s="4"/>
      <c r="C183" s="4"/>
      <c r="D183" s="4"/>
      <c r="E183" s="48"/>
      <c r="F183" s="4"/>
      <c r="G183" s="48"/>
      <c r="H183" s="4"/>
      <c r="I183" s="4"/>
    </row>
    <row r="184" ht="15.75" customHeight="1">
      <c r="A184" s="4"/>
      <c r="B184" s="4"/>
      <c r="C184" s="4"/>
      <c r="D184" s="4"/>
      <c r="E184" s="48"/>
      <c r="F184" s="4"/>
      <c r="G184" s="48"/>
      <c r="H184" s="4"/>
      <c r="I184" s="4"/>
    </row>
    <row r="185" ht="15.75" customHeight="1">
      <c r="A185" s="4"/>
      <c r="B185" s="4"/>
      <c r="C185" s="4"/>
      <c r="D185" s="4"/>
      <c r="E185" s="48"/>
      <c r="F185" s="4"/>
      <c r="G185" s="48"/>
      <c r="H185" s="4"/>
      <c r="I185" s="4"/>
    </row>
    <row r="186" ht="15.75" customHeight="1">
      <c r="A186" s="4"/>
      <c r="B186" s="4"/>
      <c r="C186" s="4"/>
      <c r="D186" s="4"/>
      <c r="E186" s="48"/>
      <c r="F186" s="4"/>
      <c r="G186" s="48"/>
      <c r="H186" s="4"/>
      <c r="I186" s="4"/>
    </row>
    <row r="187" ht="15.75" customHeight="1">
      <c r="A187" s="4"/>
      <c r="B187" s="4"/>
      <c r="C187" s="4"/>
      <c r="D187" s="4"/>
      <c r="E187" s="48"/>
      <c r="F187" s="4"/>
      <c r="G187" s="48"/>
      <c r="H187" s="4"/>
      <c r="I187" s="4"/>
    </row>
    <row r="188" ht="15.75" customHeight="1">
      <c r="A188" s="4"/>
      <c r="B188" s="4"/>
      <c r="C188" s="4"/>
      <c r="D188" s="4"/>
      <c r="E188" s="48"/>
      <c r="F188" s="4"/>
      <c r="G188" s="48"/>
      <c r="H188" s="4"/>
      <c r="I188" s="4"/>
    </row>
    <row r="189" ht="15.75" customHeight="1">
      <c r="A189" s="4"/>
      <c r="B189" s="4"/>
      <c r="C189" s="4"/>
      <c r="D189" s="4"/>
      <c r="E189" s="48"/>
      <c r="F189" s="4"/>
      <c r="G189" s="48"/>
      <c r="H189" s="4"/>
      <c r="I189" s="4"/>
    </row>
    <row r="190" ht="15.75" customHeight="1">
      <c r="A190" s="4"/>
      <c r="B190" s="4"/>
      <c r="C190" s="4"/>
      <c r="D190" s="4"/>
      <c r="E190" s="48"/>
      <c r="F190" s="4"/>
      <c r="G190" s="48"/>
      <c r="H190" s="4"/>
      <c r="I190" s="4"/>
    </row>
    <row r="191" ht="15.75" customHeight="1">
      <c r="A191" s="4"/>
      <c r="B191" s="4"/>
      <c r="C191" s="4"/>
      <c r="D191" s="4"/>
      <c r="E191" s="48"/>
      <c r="F191" s="4"/>
      <c r="G191" s="48"/>
      <c r="H191" s="4"/>
      <c r="I191" s="4"/>
    </row>
    <row r="192" ht="15.75" customHeight="1">
      <c r="A192" s="4"/>
      <c r="B192" s="4"/>
      <c r="C192" s="4"/>
      <c r="D192" s="4"/>
      <c r="E192" s="48"/>
      <c r="F192" s="4"/>
      <c r="G192" s="48"/>
      <c r="H192" s="4"/>
      <c r="I192" s="4"/>
    </row>
    <row r="193" ht="15.75" customHeight="1">
      <c r="A193" s="4"/>
      <c r="B193" s="4"/>
      <c r="C193" s="4"/>
      <c r="D193" s="4"/>
      <c r="E193" s="48"/>
      <c r="F193" s="4"/>
      <c r="G193" s="48"/>
      <c r="H193" s="4"/>
      <c r="I193" s="4"/>
    </row>
    <row r="194" ht="15.75" customHeight="1">
      <c r="A194" s="4"/>
      <c r="B194" s="4"/>
      <c r="C194" s="4"/>
      <c r="D194" s="4"/>
      <c r="E194" s="48"/>
      <c r="F194" s="4"/>
      <c r="G194" s="48"/>
      <c r="H194" s="4"/>
      <c r="I194" s="4"/>
    </row>
    <row r="195" ht="15.75" customHeight="1">
      <c r="A195" s="4"/>
      <c r="B195" s="4"/>
      <c r="C195" s="4"/>
      <c r="D195" s="4"/>
      <c r="E195" s="48"/>
      <c r="F195" s="4"/>
      <c r="G195" s="48"/>
      <c r="H195" s="4"/>
      <c r="I195" s="4"/>
    </row>
    <row r="196" ht="15.75" customHeight="1">
      <c r="A196" s="4"/>
      <c r="B196" s="4"/>
      <c r="C196" s="4"/>
      <c r="D196" s="4"/>
      <c r="E196" s="48"/>
      <c r="F196" s="4"/>
      <c r="G196" s="48"/>
      <c r="H196" s="4"/>
      <c r="I196" s="4"/>
    </row>
    <row r="197" ht="15.75" customHeight="1">
      <c r="A197" s="4"/>
      <c r="B197" s="4"/>
      <c r="C197" s="4"/>
      <c r="D197" s="4"/>
      <c r="E197" s="48"/>
      <c r="F197" s="4"/>
      <c r="G197" s="48"/>
      <c r="H197" s="4"/>
      <c r="I197" s="4"/>
    </row>
    <row r="198" ht="15.75" customHeight="1">
      <c r="A198" s="4"/>
      <c r="B198" s="4"/>
      <c r="C198" s="4"/>
      <c r="D198" s="4"/>
      <c r="E198" s="48"/>
      <c r="F198" s="4"/>
      <c r="G198" s="48"/>
      <c r="H198" s="4"/>
      <c r="I198" s="4"/>
    </row>
    <row r="199" ht="15.75" customHeight="1">
      <c r="A199" s="4"/>
      <c r="B199" s="4"/>
      <c r="C199" s="4"/>
      <c r="D199" s="4"/>
      <c r="E199" s="48"/>
      <c r="F199" s="4"/>
      <c r="G199" s="48"/>
      <c r="H199" s="4"/>
      <c r="I199" s="4"/>
    </row>
    <row r="200" ht="15.75" customHeight="1">
      <c r="A200" s="4"/>
      <c r="B200" s="4"/>
      <c r="C200" s="4"/>
      <c r="D200" s="4"/>
      <c r="E200" s="48"/>
      <c r="F200" s="4"/>
      <c r="G200" s="48"/>
      <c r="H200" s="4"/>
      <c r="I200" s="4"/>
    </row>
    <row r="201" ht="15.75" customHeight="1">
      <c r="A201" s="4"/>
      <c r="B201" s="4"/>
      <c r="C201" s="4"/>
      <c r="D201" s="4"/>
      <c r="E201" s="48"/>
      <c r="F201" s="4"/>
      <c r="G201" s="48"/>
      <c r="H201" s="4"/>
      <c r="I201" s="4"/>
    </row>
    <row r="202" ht="15.75" customHeight="1">
      <c r="A202" s="4"/>
      <c r="B202" s="4"/>
      <c r="C202" s="4"/>
      <c r="D202" s="4"/>
      <c r="E202" s="48"/>
      <c r="F202" s="4"/>
      <c r="G202" s="48"/>
      <c r="H202" s="4"/>
      <c r="I202" s="4"/>
    </row>
    <row r="203" ht="15.75" customHeight="1">
      <c r="A203" s="4"/>
      <c r="B203" s="4"/>
      <c r="C203" s="4"/>
      <c r="D203" s="4"/>
      <c r="E203" s="48"/>
      <c r="F203" s="4"/>
      <c r="G203" s="48"/>
      <c r="H203" s="4"/>
      <c r="I203" s="4"/>
    </row>
    <row r="204" ht="15.75" customHeight="1">
      <c r="A204" s="4"/>
      <c r="B204" s="4"/>
      <c r="C204" s="4"/>
      <c r="D204" s="4"/>
      <c r="E204" s="48"/>
      <c r="F204" s="4"/>
      <c r="G204" s="48"/>
      <c r="H204" s="4"/>
      <c r="I204" s="4"/>
    </row>
    <row r="205" ht="15.75" customHeight="1">
      <c r="A205" s="4"/>
      <c r="B205" s="4"/>
      <c r="C205" s="4"/>
      <c r="D205" s="4"/>
      <c r="E205" s="48"/>
      <c r="F205" s="4"/>
      <c r="G205" s="48"/>
      <c r="H205" s="4"/>
      <c r="I205" s="4"/>
    </row>
    <row r="206" ht="15.75" customHeight="1">
      <c r="A206" s="4"/>
      <c r="B206" s="4"/>
      <c r="C206" s="4"/>
      <c r="D206" s="4"/>
      <c r="E206" s="48"/>
      <c r="F206" s="4"/>
      <c r="G206" s="48"/>
      <c r="H206" s="4"/>
      <c r="I206" s="4"/>
    </row>
    <row r="207" ht="15.75" customHeight="1">
      <c r="A207" s="4"/>
      <c r="B207" s="4"/>
      <c r="C207" s="4"/>
      <c r="D207" s="4"/>
      <c r="E207" s="48"/>
      <c r="F207" s="4"/>
      <c r="G207" s="48"/>
      <c r="H207" s="4"/>
      <c r="I207" s="4"/>
    </row>
    <row r="208" ht="15.75" customHeight="1">
      <c r="A208" s="4"/>
      <c r="B208" s="4"/>
      <c r="C208" s="4"/>
      <c r="D208" s="4"/>
      <c r="E208" s="48"/>
      <c r="F208" s="4"/>
      <c r="G208" s="48"/>
      <c r="H208" s="4"/>
      <c r="I208" s="4"/>
    </row>
    <row r="209" ht="15.75" customHeight="1">
      <c r="A209" s="4"/>
      <c r="B209" s="4"/>
      <c r="C209" s="4"/>
      <c r="D209" s="4"/>
      <c r="E209" s="48"/>
      <c r="F209" s="4"/>
      <c r="G209" s="48"/>
      <c r="H209" s="4"/>
      <c r="I209" s="4"/>
    </row>
    <row r="210" ht="15.75" customHeight="1">
      <c r="A210" s="4"/>
      <c r="B210" s="4"/>
      <c r="C210" s="4"/>
      <c r="D210" s="4"/>
      <c r="E210" s="48"/>
      <c r="F210" s="4"/>
      <c r="G210" s="48"/>
      <c r="H210" s="4"/>
      <c r="I210" s="4"/>
    </row>
    <row r="211" ht="15.75" customHeight="1">
      <c r="A211" s="4"/>
      <c r="B211" s="4"/>
      <c r="C211" s="4"/>
      <c r="D211" s="4"/>
      <c r="E211" s="48"/>
      <c r="F211" s="4"/>
      <c r="G211" s="48"/>
      <c r="H211" s="4"/>
      <c r="I211" s="4"/>
    </row>
    <row r="212" ht="15.75" customHeight="1">
      <c r="A212" s="4"/>
      <c r="B212" s="4"/>
      <c r="C212" s="4"/>
      <c r="D212" s="4"/>
      <c r="E212" s="48"/>
      <c r="F212" s="4"/>
      <c r="G212" s="48"/>
      <c r="H212" s="4"/>
      <c r="I212" s="4"/>
    </row>
    <row r="213" ht="15.75" customHeight="1">
      <c r="A213" s="4"/>
      <c r="B213" s="4"/>
      <c r="C213" s="4"/>
      <c r="D213" s="4"/>
      <c r="E213" s="48"/>
      <c r="F213" s="4"/>
      <c r="G213" s="48"/>
      <c r="H213" s="4"/>
      <c r="I213" s="4"/>
    </row>
    <row r="214" ht="15.75" customHeight="1">
      <c r="A214" s="4"/>
      <c r="B214" s="4"/>
      <c r="C214" s="4"/>
      <c r="D214" s="4"/>
      <c r="E214" s="48"/>
      <c r="F214" s="4"/>
      <c r="G214" s="48"/>
      <c r="H214" s="4"/>
      <c r="I214" s="4"/>
    </row>
    <row r="215" ht="15.75" customHeight="1">
      <c r="A215" s="4"/>
      <c r="B215" s="4"/>
      <c r="C215" s="4"/>
      <c r="D215" s="4"/>
      <c r="E215" s="48"/>
      <c r="F215" s="4"/>
      <c r="G215" s="48"/>
      <c r="H215" s="4"/>
      <c r="I215" s="4"/>
    </row>
    <row r="216" ht="15.75" customHeight="1">
      <c r="A216" s="4"/>
      <c r="B216" s="4"/>
      <c r="C216" s="4"/>
      <c r="D216" s="4"/>
      <c r="E216" s="48"/>
      <c r="F216" s="4"/>
      <c r="G216" s="48"/>
      <c r="H216" s="4"/>
      <c r="I216" s="4"/>
    </row>
    <row r="217" ht="15.75" customHeight="1">
      <c r="A217" s="4"/>
      <c r="B217" s="4"/>
      <c r="C217" s="4"/>
      <c r="D217" s="4"/>
      <c r="E217" s="48"/>
      <c r="F217" s="4"/>
      <c r="G217" s="48"/>
      <c r="H217" s="4"/>
      <c r="I217" s="4"/>
    </row>
    <row r="218" ht="15.75" customHeight="1">
      <c r="A218" s="4"/>
      <c r="B218" s="4"/>
      <c r="C218" s="4"/>
      <c r="D218" s="4"/>
      <c r="E218" s="48"/>
      <c r="F218" s="4"/>
      <c r="G218" s="48"/>
      <c r="H218" s="4"/>
      <c r="I218" s="4"/>
    </row>
    <row r="219" ht="15.75" customHeight="1">
      <c r="A219" s="4"/>
      <c r="B219" s="4"/>
      <c r="C219" s="4"/>
      <c r="D219" s="4"/>
      <c r="E219" s="48"/>
      <c r="F219" s="4"/>
      <c r="G219" s="48"/>
      <c r="H219" s="4"/>
      <c r="I219" s="4"/>
    </row>
    <row r="220" ht="15.75" customHeight="1">
      <c r="A220" s="4"/>
      <c r="B220" s="4"/>
      <c r="C220" s="4"/>
      <c r="D220" s="4"/>
      <c r="E220" s="48"/>
      <c r="F220" s="4"/>
      <c r="G220" s="48"/>
      <c r="H220" s="4"/>
      <c r="I220" s="4"/>
    </row>
    <row r="221" ht="15.75" customHeight="1">
      <c r="A221" s="4"/>
      <c r="B221" s="4"/>
      <c r="C221" s="4"/>
      <c r="D221" s="4"/>
      <c r="E221" s="48"/>
      <c r="F221" s="4"/>
      <c r="G221" s="48"/>
      <c r="H221" s="4"/>
      <c r="I221" s="4"/>
    </row>
    <row r="222" ht="15.75" customHeight="1">
      <c r="A222" s="4"/>
      <c r="B222" s="4"/>
      <c r="C222" s="4"/>
      <c r="D222" s="4"/>
      <c r="E222" s="48"/>
      <c r="F222" s="4"/>
      <c r="G222" s="48"/>
      <c r="H222" s="4"/>
      <c r="I222" s="4"/>
    </row>
    <row r="223" ht="15.75" customHeight="1">
      <c r="A223" s="4"/>
      <c r="B223" s="4"/>
      <c r="C223" s="4"/>
      <c r="D223" s="4"/>
      <c r="E223" s="48"/>
      <c r="F223" s="4"/>
      <c r="G223" s="48"/>
      <c r="H223" s="4"/>
      <c r="I223" s="4"/>
    </row>
    <row r="224" ht="15.75" customHeight="1">
      <c r="A224" s="4"/>
      <c r="B224" s="4"/>
      <c r="C224" s="4"/>
      <c r="D224" s="4"/>
      <c r="E224" s="48"/>
      <c r="F224" s="4"/>
      <c r="G224" s="48"/>
      <c r="H224" s="4"/>
      <c r="I224" s="4"/>
    </row>
    <row r="225" ht="15.75" customHeight="1">
      <c r="A225" s="4"/>
      <c r="B225" s="4"/>
      <c r="C225" s="4"/>
      <c r="D225" s="4"/>
      <c r="E225" s="48"/>
      <c r="F225" s="4"/>
      <c r="G225" s="48"/>
      <c r="H225" s="4"/>
      <c r="I225" s="4"/>
    </row>
    <row r="226" ht="15.75" customHeight="1">
      <c r="A226" s="4"/>
      <c r="B226" s="4"/>
      <c r="C226" s="4"/>
      <c r="D226" s="4"/>
      <c r="E226" s="48"/>
      <c r="F226" s="4"/>
      <c r="G226" s="48"/>
      <c r="H226" s="4"/>
      <c r="I226" s="4"/>
    </row>
    <row r="227" ht="15.75" customHeight="1">
      <c r="A227" s="4"/>
      <c r="B227" s="4"/>
      <c r="C227" s="4"/>
      <c r="D227" s="4"/>
      <c r="E227" s="48"/>
      <c r="F227" s="4"/>
      <c r="G227" s="48"/>
      <c r="H227" s="4"/>
      <c r="I227" s="4"/>
    </row>
    <row r="228" ht="15.75" customHeight="1">
      <c r="A228" s="4"/>
      <c r="B228" s="4"/>
      <c r="C228" s="4"/>
      <c r="D228" s="4"/>
      <c r="E228" s="48"/>
      <c r="F228" s="4"/>
      <c r="G228" s="48"/>
      <c r="H228" s="4"/>
      <c r="I228" s="4"/>
    </row>
    <row r="229" ht="15.75" customHeight="1">
      <c r="A229" s="4"/>
      <c r="B229" s="4"/>
      <c r="C229" s="4"/>
      <c r="D229" s="4"/>
      <c r="E229" s="48"/>
      <c r="F229" s="4"/>
      <c r="G229" s="48"/>
      <c r="H229" s="4"/>
      <c r="I229" s="4"/>
    </row>
    <row r="230" ht="15.75" customHeight="1">
      <c r="A230" s="4"/>
      <c r="B230" s="4"/>
      <c r="C230" s="4"/>
      <c r="D230" s="4"/>
      <c r="E230" s="48"/>
      <c r="F230" s="4"/>
      <c r="G230" s="48"/>
      <c r="H230" s="4"/>
      <c r="I230" s="4"/>
    </row>
    <row r="231" ht="15.75" customHeight="1">
      <c r="A231" s="4"/>
      <c r="B231" s="4"/>
      <c r="C231" s="4"/>
      <c r="D231" s="4"/>
      <c r="E231" s="48"/>
      <c r="F231" s="4"/>
      <c r="G231" s="48"/>
      <c r="H231" s="4"/>
      <c r="I231" s="4"/>
    </row>
    <row r="232" ht="15.75" customHeight="1">
      <c r="A232" s="4"/>
      <c r="B232" s="4"/>
      <c r="C232" s="4"/>
      <c r="D232" s="4"/>
      <c r="E232" s="48"/>
      <c r="F232" s="4"/>
      <c r="G232" s="48"/>
      <c r="H232" s="4"/>
      <c r="I232" s="4"/>
    </row>
    <row r="233" ht="15.75" customHeight="1">
      <c r="A233" s="4"/>
      <c r="B233" s="4"/>
      <c r="C233" s="4"/>
      <c r="D233" s="4"/>
      <c r="E233" s="48"/>
      <c r="F233" s="4"/>
      <c r="G233" s="48"/>
      <c r="H233" s="4"/>
      <c r="I233" s="4"/>
    </row>
    <row r="234" ht="15.75" customHeight="1">
      <c r="A234" s="4"/>
      <c r="B234" s="4"/>
      <c r="C234" s="4"/>
      <c r="D234" s="4"/>
      <c r="E234" s="48"/>
      <c r="F234" s="4"/>
      <c r="G234" s="48"/>
      <c r="H234" s="4"/>
      <c r="I234" s="4"/>
    </row>
    <row r="235" ht="15.75" customHeight="1">
      <c r="A235" s="4"/>
      <c r="B235" s="4"/>
      <c r="C235" s="4"/>
      <c r="D235" s="4"/>
      <c r="E235" s="48"/>
      <c r="F235" s="4"/>
      <c r="G235" s="48"/>
      <c r="H235" s="4"/>
      <c r="I235" s="4"/>
    </row>
    <row r="236" ht="15.75" customHeight="1">
      <c r="A236" s="4"/>
      <c r="B236" s="4"/>
      <c r="C236" s="4"/>
      <c r="D236" s="4"/>
      <c r="E236" s="48"/>
      <c r="F236" s="4"/>
      <c r="G236" s="48"/>
      <c r="H236" s="4"/>
      <c r="I236" s="4"/>
    </row>
    <row r="237" ht="15.75" customHeight="1">
      <c r="A237" s="4"/>
      <c r="B237" s="4"/>
      <c r="C237" s="4"/>
      <c r="D237" s="4"/>
      <c r="E237" s="48"/>
      <c r="F237" s="4"/>
      <c r="G237" s="48"/>
      <c r="H237" s="4"/>
      <c r="I237" s="4"/>
    </row>
    <row r="238" ht="15.75" customHeight="1">
      <c r="A238" s="4"/>
      <c r="B238" s="4"/>
      <c r="C238" s="4"/>
      <c r="D238" s="4"/>
      <c r="E238" s="48"/>
      <c r="F238" s="4"/>
      <c r="G238" s="48"/>
      <c r="H238" s="4"/>
      <c r="I238" s="4"/>
    </row>
    <row r="239" ht="15.75" customHeight="1">
      <c r="A239" s="4"/>
      <c r="B239" s="4"/>
      <c r="C239" s="4"/>
      <c r="D239" s="4"/>
      <c r="E239" s="48"/>
      <c r="F239" s="4"/>
      <c r="G239" s="48"/>
      <c r="H239" s="4"/>
      <c r="I239" s="4"/>
    </row>
    <row r="240" ht="15.75" customHeight="1">
      <c r="A240" s="4"/>
      <c r="B240" s="4"/>
      <c r="C240" s="4"/>
      <c r="D240" s="4"/>
      <c r="E240" s="48"/>
      <c r="F240" s="4"/>
      <c r="G240" s="48"/>
      <c r="H240" s="4"/>
      <c r="I240" s="4"/>
    </row>
    <row r="241" ht="15.75" customHeight="1">
      <c r="A241" s="4"/>
      <c r="B241" s="4"/>
      <c r="C241" s="4"/>
      <c r="D241" s="4"/>
      <c r="E241" s="48"/>
      <c r="F241" s="4"/>
      <c r="G241" s="48"/>
      <c r="H241" s="4"/>
      <c r="I241" s="4"/>
    </row>
    <row r="242" ht="15.75" customHeight="1">
      <c r="A242" s="4"/>
      <c r="B242" s="4"/>
      <c r="C242" s="4"/>
      <c r="D242" s="4"/>
      <c r="E242" s="48"/>
      <c r="F242" s="4"/>
      <c r="G242" s="48"/>
      <c r="H242" s="4"/>
      <c r="I242" s="4"/>
    </row>
    <row r="243" ht="15.75" customHeight="1">
      <c r="A243" s="4"/>
      <c r="B243" s="4"/>
      <c r="C243" s="4"/>
      <c r="D243" s="4"/>
      <c r="E243" s="48"/>
      <c r="F243" s="4"/>
      <c r="G243" s="48"/>
      <c r="H243" s="4"/>
      <c r="I243" s="4"/>
    </row>
    <row r="244" ht="15.75" customHeight="1">
      <c r="A244" s="4"/>
      <c r="B244" s="4"/>
      <c r="C244" s="4"/>
      <c r="D244" s="4"/>
      <c r="E244" s="48"/>
      <c r="F244" s="4"/>
      <c r="G244" s="48"/>
      <c r="H244" s="4"/>
      <c r="I244" s="4"/>
    </row>
    <row r="245" ht="15.75" customHeight="1">
      <c r="A245" s="4"/>
      <c r="B245" s="4"/>
      <c r="C245" s="4"/>
      <c r="D245" s="4"/>
      <c r="E245" s="48"/>
      <c r="F245" s="4"/>
      <c r="G245" s="48"/>
      <c r="H245" s="4"/>
      <c r="I245" s="4"/>
    </row>
    <row r="246" ht="15.75" customHeight="1">
      <c r="A246" s="4"/>
      <c r="B246" s="4"/>
      <c r="C246" s="4"/>
      <c r="D246" s="4"/>
      <c r="E246" s="48"/>
      <c r="F246" s="4"/>
      <c r="G246" s="48"/>
      <c r="H246" s="4"/>
      <c r="I246" s="4"/>
    </row>
    <row r="247" ht="15.75" customHeight="1">
      <c r="A247" s="4"/>
      <c r="B247" s="4"/>
      <c r="C247" s="4"/>
      <c r="D247" s="4"/>
      <c r="E247" s="48"/>
      <c r="F247" s="4"/>
      <c r="G247" s="48"/>
      <c r="H247" s="4"/>
      <c r="I247" s="4"/>
    </row>
    <row r="248" ht="15.75" customHeight="1">
      <c r="A248" s="4"/>
      <c r="B248" s="4"/>
      <c r="C248" s="4"/>
      <c r="D248" s="4"/>
      <c r="E248" s="48"/>
      <c r="F248" s="4"/>
      <c r="G248" s="48"/>
      <c r="H248" s="4"/>
      <c r="I248" s="4"/>
    </row>
    <row r="249" ht="15.75" customHeight="1">
      <c r="A249" s="4"/>
      <c r="B249" s="4"/>
      <c r="C249" s="4"/>
      <c r="D249" s="4"/>
      <c r="E249" s="48"/>
      <c r="F249" s="4"/>
      <c r="G249" s="48"/>
      <c r="H249" s="4"/>
      <c r="I249" s="4"/>
    </row>
    <row r="250" ht="15.75" customHeight="1">
      <c r="A250" s="4"/>
      <c r="B250" s="4"/>
      <c r="C250" s="4"/>
      <c r="D250" s="4"/>
      <c r="E250" s="48"/>
      <c r="F250" s="4"/>
      <c r="G250" s="48"/>
      <c r="H250" s="4"/>
      <c r="I250" s="4"/>
    </row>
    <row r="251" ht="15.75" customHeight="1">
      <c r="A251" s="4"/>
      <c r="B251" s="4"/>
      <c r="C251" s="4"/>
      <c r="D251" s="4"/>
      <c r="E251" s="48"/>
      <c r="F251" s="4"/>
      <c r="G251" s="48"/>
      <c r="H251" s="4"/>
      <c r="I251" s="4"/>
    </row>
    <row r="252" ht="15.75" customHeight="1">
      <c r="A252" s="4"/>
      <c r="B252" s="4"/>
      <c r="C252" s="4"/>
      <c r="D252" s="4"/>
      <c r="E252" s="48"/>
      <c r="F252" s="4"/>
      <c r="G252" s="48"/>
      <c r="H252" s="4"/>
      <c r="I252" s="4"/>
    </row>
    <row r="253" ht="15.75" customHeight="1">
      <c r="A253" s="4"/>
      <c r="B253" s="4"/>
      <c r="C253" s="4"/>
      <c r="D253" s="4"/>
      <c r="E253" s="48"/>
      <c r="F253" s="4"/>
      <c r="G253" s="48"/>
      <c r="H253" s="4"/>
      <c r="I253" s="4"/>
    </row>
    <row r="254" ht="15.75" customHeight="1">
      <c r="A254" s="4"/>
      <c r="B254" s="4"/>
      <c r="C254" s="4"/>
      <c r="D254" s="4"/>
      <c r="E254" s="48"/>
      <c r="F254" s="4"/>
      <c r="G254" s="48"/>
      <c r="H254" s="4"/>
      <c r="I254" s="4"/>
    </row>
    <row r="255" ht="15.75" customHeight="1">
      <c r="A255" s="4"/>
      <c r="B255" s="4"/>
      <c r="C255" s="4"/>
      <c r="D255" s="4"/>
      <c r="E255" s="48"/>
      <c r="F255" s="4"/>
      <c r="G255" s="48"/>
      <c r="H255" s="4"/>
      <c r="I255" s="4"/>
    </row>
    <row r="256" ht="15.75" customHeight="1">
      <c r="A256" s="4"/>
      <c r="B256" s="4"/>
      <c r="C256" s="4"/>
      <c r="D256" s="4"/>
      <c r="E256" s="48"/>
      <c r="F256" s="4"/>
      <c r="G256" s="48"/>
      <c r="H256" s="4"/>
      <c r="I256" s="4"/>
    </row>
    <row r="257" ht="15.75" customHeight="1">
      <c r="A257" s="4"/>
      <c r="B257" s="4"/>
      <c r="C257" s="4"/>
      <c r="D257" s="4"/>
      <c r="E257" s="48"/>
      <c r="F257" s="4"/>
      <c r="G257" s="48"/>
      <c r="H257" s="4"/>
      <c r="I257" s="4"/>
    </row>
    <row r="258" ht="15.75" customHeight="1">
      <c r="A258" s="4"/>
      <c r="B258" s="4"/>
      <c r="C258" s="4"/>
      <c r="D258" s="4"/>
      <c r="E258" s="48"/>
      <c r="F258" s="4"/>
      <c r="G258" s="48"/>
      <c r="H258" s="4"/>
      <c r="I258" s="4"/>
    </row>
    <row r="259" ht="15.75" customHeight="1">
      <c r="A259" s="4"/>
      <c r="B259" s="4"/>
      <c r="C259" s="4"/>
      <c r="D259" s="4"/>
      <c r="E259" s="48"/>
      <c r="F259" s="4"/>
      <c r="G259" s="48"/>
      <c r="H259" s="4"/>
      <c r="I259" s="4"/>
    </row>
    <row r="260" ht="15.75" customHeight="1">
      <c r="A260" s="4"/>
      <c r="B260" s="4"/>
      <c r="C260" s="4"/>
      <c r="D260" s="4"/>
      <c r="E260" s="48"/>
      <c r="F260" s="4"/>
      <c r="G260" s="48"/>
      <c r="H260" s="4"/>
      <c r="I260" s="4"/>
    </row>
    <row r="261" ht="15.75" customHeight="1">
      <c r="A261" s="4"/>
      <c r="B261" s="4"/>
      <c r="C261" s="4"/>
      <c r="D261" s="4"/>
      <c r="E261" s="48"/>
      <c r="F261" s="4"/>
      <c r="G261" s="48"/>
      <c r="H261" s="4"/>
      <c r="I261" s="4"/>
    </row>
    <row r="262" ht="15.75" customHeight="1">
      <c r="A262" s="4"/>
      <c r="B262" s="4"/>
      <c r="C262" s="4"/>
      <c r="D262" s="4"/>
      <c r="E262" s="48"/>
      <c r="F262" s="4"/>
      <c r="G262" s="48"/>
      <c r="H262" s="4"/>
      <c r="I262" s="4"/>
    </row>
    <row r="263" ht="15.75" customHeight="1">
      <c r="A263" s="4"/>
      <c r="B263" s="4"/>
      <c r="C263" s="4"/>
      <c r="D263" s="4"/>
      <c r="E263" s="48"/>
      <c r="F263" s="4"/>
      <c r="G263" s="48"/>
      <c r="H263" s="4"/>
      <c r="I263" s="4"/>
    </row>
    <row r="264" ht="15.75" customHeight="1">
      <c r="A264" s="4"/>
      <c r="B264" s="4"/>
      <c r="C264" s="4"/>
      <c r="D264" s="4"/>
      <c r="E264" s="48"/>
      <c r="F264" s="4"/>
      <c r="G264" s="48"/>
      <c r="H264" s="4"/>
      <c r="I264" s="4"/>
    </row>
    <row r="265" ht="15.75" customHeight="1">
      <c r="A265" s="4"/>
      <c r="B265" s="4"/>
      <c r="C265" s="4"/>
      <c r="D265" s="4"/>
      <c r="E265" s="48"/>
      <c r="F265" s="4"/>
      <c r="G265" s="48"/>
      <c r="H265" s="4"/>
      <c r="I265" s="4"/>
    </row>
    <row r="266" ht="15.75" customHeight="1">
      <c r="A266" s="4"/>
      <c r="B266" s="4"/>
      <c r="C266" s="4"/>
      <c r="D266" s="4"/>
      <c r="E266" s="48"/>
      <c r="F266" s="4"/>
      <c r="G266" s="48"/>
      <c r="H266" s="4"/>
      <c r="I266" s="4"/>
    </row>
    <row r="267" ht="15.75" customHeight="1">
      <c r="A267" s="4"/>
      <c r="B267" s="4"/>
      <c r="C267" s="4"/>
      <c r="D267" s="4"/>
      <c r="E267" s="48"/>
      <c r="F267" s="4"/>
      <c r="G267" s="48"/>
      <c r="H267" s="4"/>
      <c r="I267" s="4"/>
    </row>
    <row r="268" ht="15.75" customHeight="1">
      <c r="A268" s="4"/>
      <c r="B268" s="4"/>
      <c r="C268" s="4"/>
      <c r="D268" s="4"/>
      <c r="E268" s="48"/>
      <c r="F268" s="4"/>
      <c r="G268" s="48"/>
      <c r="H268" s="4"/>
      <c r="I268" s="4"/>
    </row>
    <row r="269" ht="15.75" customHeight="1">
      <c r="A269" s="4"/>
      <c r="B269" s="4"/>
      <c r="C269" s="4"/>
      <c r="D269" s="4"/>
      <c r="E269" s="48"/>
      <c r="F269" s="4"/>
      <c r="G269" s="48"/>
      <c r="H269" s="4"/>
      <c r="I269" s="4"/>
    </row>
    <row r="270" ht="15.75" customHeight="1">
      <c r="A270" s="4"/>
      <c r="B270" s="4"/>
      <c r="C270" s="4"/>
      <c r="D270" s="4"/>
      <c r="E270" s="48"/>
      <c r="F270" s="4"/>
      <c r="G270" s="48"/>
      <c r="H270" s="4"/>
      <c r="I270" s="4"/>
    </row>
    <row r="271" ht="15.75" customHeight="1">
      <c r="A271" s="4"/>
      <c r="B271" s="4"/>
      <c r="C271" s="4"/>
      <c r="D271" s="4"/>
      <c r="E271" s="48"/>
      <c r="F271" s="4"/>
      <c r="G271" s="48"/>
      <c r="H271" s="4"/>
      <c r="I271" s="4"/>
    </row>
    <row r="272" ht="15.75" customHeight="1">
      <c r="A272" s="4"/>
      <c r="B272" s="4"/>
      <c r="C272" s="4"/>
      <c r="D272" s="4"/>
      <c r="E272" s="48"/>
      <c r="F272" s="4"/>
      <c r="G272" s="48"/>
      <c r="H272" s="4"/>
      <c r="I272" s="4"/>
    </row>
    <row r="273" ht="15.75" customHeight="1">
      <c r="A273" s="4"/>
      <c r="B273" s="4"/>
      <c r="C273" s="4"/>
      <c r="D273" s="4"/>
      <c r="E273" s="48"/>
      <c r="F273" s="4"/>
      <c r="G273" s="48"/>
      <c r="H273" s="4"/>
      <c r="I273" s="4"/>
    </row>
    <row r="274" ht="15.75" customHeight="1">
      <c r="A274" s="4"/>
      <c r="B274" s="4"/>
      <c r="C274" s="4"/>
      <c r="D274" s="4"/>
      <c r="E274" s="48"/>
      <c r="F274" s="4"/>
      <c r="G274" s="48"/>
      <c r="H274" s="4"/>
      <c r="I274" s="4"/>
    </row>
    <row r="275" ht="15.75" customHeight="1">
      <c r="A275" s="4"/>
      <c r="B275" s="4"/>
      <c r="C275" s="4"/>
      <c r="D275" s="4"/>
      <c r="E275" s="48"/>
      <c r="F275" s="4"/>
      <c r="G275" s="48"/>
      <c r="H275" s="4"/>
      <c r="I275" s="4"/>
    </row>
    <row r="276" ht="15.75" customHeight="1">
      <c r="A276" s="4"/>
      <c r="B276" s="4"/>
      <c r="C276" s="4"/>
      <c r="D276" s="4"/>
      <c r="E276" s="48"/>
      <c r="F276" s="4"/>
      <c r="G276" s="48"/>
      <c r="H276" s="4"/>
      <c r="I276" s="4"/>
    </row>
    <row r="277" ht="15.75" customHeight="1">
      <c r="A277" s="4"/>
      <c r="B277" s="4"/>
      <c r="C277" s="4"/>
      <c r="D277" s="4"/>
      <c r="E277" s="48"/>
      <c r="F277" s="4"/>
      <c r="G277" s="48"/>
      <c r="H277" s="4"/>
      <c r="I277" s="4"/>
    </row>
    <row r="278" ht="15.75" customHeight="1">
      <c r="A278" s="4"/>
      <c r="B278" s="4"/>
      <c r="C278" s="4"/>
      <c r="D278" s="4"/>
      <c r="E278" s="48"/>
      <c r="F278" s="4"/>
      <c r="G278" s="48"/>
      <c r="H278" s="4"/>
      <c r="I278" s="4"/>
    </row>
    <row r="279" ht="15.75" customHeight="1">
      <c r="A279" s="4"/>
      <c r="B279" s="4"/>
      <c r="C279" s="4"/>
      <c r="D279" s="4"/>
      <c r="E279" s="48"/>
      <c r="F279" s="4"/>
      <c r="G279" s="48"/>
      <c r="H279" s="4"/>
      <c r="I279" s="4"/>
    </row>
    <row r="280" ht="15.75" customHeight="1">
      <c r="A280" s="4"/>
      <c r="B280" s="4"/>
      <c r="C280" s="4"/>
      <c r="D280" s="4"/>
      <c r="E280" s="48"/>
      <c r="F280" s="4"/>
      <c r="G280" s="48"/>
      <c r="H280" s="4"/>
      <c r="I280" s="4"/>
    </row>
    <row r="281" ht="15.75" customHeight="1">
      <c r="A281" s="4"/>
      <c r="B281" s="4"/>
      <c r="C281" s="4"/>
      <c r="D281" s="4"/>
      <c r="E281" s="48"/>
      <c r="F281" s="4"/>
      <c r="G281" s="48"/>
      <c r="H281" s="4"/>
      <c r="I281" s="4"/>
    </row>
    <row r="282" ht="15.75" customHeight="1">
      <c r="A282" s="4"/>
      <c r="B282" s="4"/>
      <c r="C282" s="4"/>
      <c r="D282" s="4"/>
      <c r="E282" s="48"/>
      <c r="F282" s="4"/>
      <c r="G282" s="48"/>
      <c r="H282" s="4"/>
      <c r="I282" s="4"/>
    </row>
    <row r="283" ht="15.75" customHeight="1">
      <c r="A283" s="4"/>
      <c r="B283" s="4"/>
      <c r="C283" s="4"/>
      <c r="D283" s="4"/>
      <c r="E283" s="48"/>
      <c r="F283" s="4"/>
      <c r="G283" s="48"/>
      <c r="H283" s="4"/>
      <c r="I283" s="4"/>
    </row>
    <row r="284" ht="15.75" customHeight="1">
      <c r="A284" s="4"/>
      <c r="B284" s="4"/>
      <c r="C284" s="4"/>
      <c r="D284" s="4"/>
      <c r="E284" s="48"/>
      <c r="F284" s="4"/>
      <c r="G284" s="48"/>
      <c r="H284" s="4"/>
      <c r="I284" s="4"/>
    </row>
    <row r="285" ht="15.75" customHeight="1">
      <c r="A285" s="4"/>
      <c r="B285" s="4"/>
      <c r="C285" s="4"/>
      <c r="D285" s="4"/>
      <c r="E285" s="48"/>
      <c r="F285" s="4"/>
      <c r="G285" s="48"/>
      <c r="H285" s="4"/>
      <c r="I285" s="4"/>
    </row>
    <row r="286" ht="15.75" customHeight="1">
      <c r="A286" s="4"/>
      <c r="B286" s="4"/>
      <c r="C286" s="4"/>
      <c r="D286" s="4"/>
      <c r="E286" s="48"/>
      <c r="F286" s="4"/>
      <c r="G286" s="48"/>
      <c r="H286" s="4"/>
      <c r="I286" s="4"/>
    </row>
    <row r="287" ht="15.75" customHeight="1">
      <c r="A287" s="4"/>
      <c r="B287" s="4"/>
      <c r="C287" s="4"/>
      <c r="D287" s="4"/>
      <c r="E287" s="48"/>
      <c r="F287" s="4"/>
      <c r="G287" s="48"/>
      <c r="H287" s="4"/>
      <c r="I287" s="4"/>
    </row>
    <row r="288" ht="15.75" customHeight="1">
      <c r="A288" s="4"/>
      <c r="B288" s="4"/>
      <c r="C288" s="4"/>
      <c r="D288" s="4"/>
      <c r="E288" s="48"/>
      <c r="F288" s="4"/>
      <c r="G288" s="48"/>
      <c r="H288" s="4"/>
      <c r="I288" s="4"/>
    </row>
    <row r="289" ht="15.75" customHeight="1">
      <c r="A289" s="4"/>
      <c r="B289" s="4"/>
      <c r="C289" s="4"/>
      <c r="D289" s="4"/>
      <c r="E289" s="48"/>
      <c r="F289" s="4"/>
      <c r="G289" s="48"/>
      <c r="H289" s="4"/>
      <c r="I289" s="4"/>
    </row>
    <row r="290" ht="15.75" customHeight="1">
      <c r="A290" s="4"/>
      <c r="B290" s="4"/>
      <c r="C290" s="4"/>
      <c r="D290" s="4"/>
      <c r="E290" s="48"/>
      <c r="F290" s="4"/>
      <c r="G290" s="48"/>
      <c r="H290" s="4"/>
      <c r="I290" s="4"/>
    </row>
    <row r="291" ht="15.75" customHeight="1">
      <c r="A291" s="4"/>
      <c r="B291" s="4"/>
      <c r="C291" s="4"/>
      <c r="D291" s="4"/>
      <c r="E291" s="48"/>
      <c r="F291" s="4"/>
      <c r="G291" s="48"/>
      <c r="H291" s="4"/>
      <c r="I291" s="4"/>
    </row>
    <row r="292" ht="15.75" customHeight="1">
      <c r="A292" s="4"/>
      <c r="B292" s="4"/>
      <c r="C292" s="4"/>
      <c r="D292" s="4"/>
      <c r="E292" s="48"/>
      <c r="F292" s="4"/>
      <c r="G292" s="48"/>
      <c r="H292" s="4"/>
      <c r="I292" s="4"/>
    </row>
    <row r="293" ht="15.75" customHeight="1">
      <c r="A293" s="4"/>
      <c r="B293" s="4"/>
      <c r="C293" s="4"/>
      <c r="D293" s="4"/>
      <c r="E293" s="48"/>
      <c r="F293" s="4"/>
      <c r="G293" s="48"/>
      <c r="H293" s="4"/>
      <c r="I293" s="4"/>
    </row>
    <row r="294" ht="15.75" customHeight="1">
      <c r="A294" s="4"/>
      <c r="B294" s="4"/>
      <c r="C294" s="4"/>
      <c r="D294" s="4"/>
      <c r="E294" s="48"/>
      <c r="F294" s="4"/>
      <c r="G294" s="48"/>
      <c r="H294" s="4"/>
      <c r="I294" s="4"/>
    </row>
    <row r="295" ht="15.75" customHeight="1">
      <c r="A295" s="4"/>
      <c r="B295" s="4"/>
      <c r="C295" s="4"/>
      <c r="D295" s="4"/>
      <c r="E295" s="48"/>
      <c r="F295" s="4"/>
      <c r="G295" s="48"/>
      <c r="H295" s="4"/>
      <c r="I295" s="4"/>
    </row>
    <row r="296" ht="15.75" customHeight="1">
      <c r="A296" s="4"/>
      <c r="B296" s="4"/>
      <c r="C296" s="4"/>
      <c r="D296" s="4"/>
      <c r="E296" s="48"/>
      <c r="F296" s="4"/>
      <c r="G296" s="48"/>
      <c r="H296" s="4"/>
      <c r="I296" s="4"/>
    </row>
    <row r="297" ht="15.75" customHeight="1">
      <c r="A297" s="4"/>
      <c r="B297" s="4"/>
      <c r="C297" s="4"/>
      <c r="D297" s="4"/>
      <c r="E297" s="48"/>
      <c r="F297" s="4"/>
      <c r="G297" s="48"/>
      <c r="H297" s="4"/>
      <c r="I297" s="4"/>
    </row>
    <row r="298" ht="15.75" customHeight="1">
      <c r="A298" s="4"/>
      <c r="B298" s="4"/>
      <c r="C298" s="4"/>
      <c r="D298" s="4"/>
      <c r="E298" s="48"/>
      <c r="F298" s="4"/>
      <c r="G298" s="48"/>
      <c r="H298" s="4"/>
      <c r="I298" s="4"/>
    </row>
    <row r="299" ht="15.75" customHeight="1">
      <c r="A299" s="4"/>
      <c r="B299" s="4"/>
      <c r="C299" s="4"/>
      <c r="D299" s="4"/>
      <c r="E299" s="48"/>
      <c r="F299" s="4"/>
      <c r="G299" s="48"/>
      <c r="H299" s="4"/>
      <c r="I299" s="4"/>
    </row>
    <row r="300" ht="15.75" customHeight="1">
      <c r="A300" s="4"/>
      <c r="B300" s="4"/>
      <c r="C300" s="4"/>
      <c r="D300" s="4"/>
      <c r="E300" s="48"/>
      <c r="F300" s="4"/>
      <c r="G300" s="48"/>
      <c r="H300" s="4"/>
      <c r="I300" s="4"/>
    </row>
    <row r="301" ht="15.75" customHeight="1">
      <c r="A301" s="4"/>
      <c r="B301" s="4"/>
      <c r="C301" s="4"/>
      <c r="D301" s="4"/>
      <c r="E301" s="48"/>
      <c r="F301" s="4"/>
      <c r="G301" s="48"/>
      <c r="H301" s="4"/>
      <c r="I301" s="4"/>
    </row>
    <row r="302" ht="15.75" customHeight="1">
      <c r="A302" s="4"/>
      <c r="B302" s="4"/>
      <c r="C302" s="4"/>
      <c r="D302" s="4"/>
      <c r="E302" s="48"/>
      <c r="F302" s="4"/>
      <c r="G302" s="48"/>
      <c r="H302" s="4"/>
      <c r="I302" s="4"/>
    </row>
    <row r="303" ht="15.75" customHeight="1">
      <c r="A303" s="4"/>
      <c r="B303" s="4"/>
      <c r="C303" s="4"/>
      <c r="D303" s="4"/>
      <c r="E303" s="48"/>
      <c r="F303" s="4"/>
      <c r="G303" s="48"/>
      <c r="H303" s="4"/>
      <c r="I303" s="4"/>
    </row>
    <row r="304" ht="15.75" customHeight="1">
      <c r="A304" s="4"/>
      <c r="B304" s="4"/>
      <c r="C304" s="4"/>
      <c r="D304" s="4"/>
      <c r="E304" s="48"/>
      <c r="F304" s="4"/>
      <c r="G304" s="48"/>
      <c r="H304" s="4"/>
      <c r="I304" s="4"/>
    </row>
    <row r="305" ht="15.75" customHeight="1">
      <c r="A305" s="4"/>
      <c r="B305" s="4"/>
      <c r="C305" s="4"/>
      <c r="D305" s="4"/>
      <c r="E305" s="48"/>
      <c r="F305" s="4"/>
      <c r="G305" s="48"/>
      <c r="H305" s="4"/>
      <c r="I305" s="4"/>
    </row>
    <row r="306" ht="15.75" customHeight="1">
      <c r="A306" s="4"/>
      <c r="B306" s="4"/>
      <c r="C306" s="4"/>
      <c r="D306" s="4"/>
      <c r="E306" s="48"/>
      <c r="F306" s="4"/>
      <c r="G306" s="48"/>
      <c r="H306" s="4"/>
      <c r="I306" s="4"/>
    </row>
    <row r="307" ht="15.75" customHeight="1">
      <c r="A307" s="4"/>
      <c r="B307" s="4"/>
      <c r="C307" s="4"/>
      <c r="D307" s="4"/>
      <c r="E307" s="48"/>
      <c r="F307" s="4"/>
      <c r="G307" s="48"/>
      <c r="H307" s="4"/>
      <c r="I307" s="4"/>
    </row>
    <row r="308" ht="15.75" customHeight="1">
      <c r="A308" s="4"/>
      <c r="B308" s="4"/>
      <c r="C308" s="4"/>
      <c r="D308" s="4"/>
      <c r="E308" s="48"/>
      <c r="F308" s="4"/>
      <c r="G308" s="48"/>
      <c r="H308" s="4"/>
      <c r="I308" s="4"/>
    </row>
    <row r="309" ht="15.75" customHeight="1">
      <c r="A309" s="4"/>
      <c r="B309" s="4"/>
      <c r="C309" s="4"/>
      <c r="D309" s="4"/>
      <c r="E309" s="48"/>
      <c r="F309" s="4"/>
      <c r="G309" s="48"/>
      <c r="H309" s="4"/>
      <c r="I309" s="4"/>
    </row>
    <row r="310" ht="15.75" customHeight="1">
      <c r="A310" s="4"/>
      <c r="B310" s="4"/>
      <c r="C310" s="4"/>
      <c r="D310" s="4"/>
      <c r="E310" s="48"/>
      <c r="F310" s="4"/>
      <c r="G310" s="48"/>
      <c r="H310" s="4"/>
      <c r="I310" s="4"/>
    </row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B108:E108"/>
    <mergeCell ref="B110:H110"/>
    <mergeCell ref="B1:H2"/>
    <mergeCell ref="B4:C4"/>
    <mergeCell ref="D4:E4"/>
    <mergeCell ref="F4:G4"/>
    <mergeCell ref="B5:C5"/>
    <mergeCell ref="D5:E5"/>
    <mergeCell ref="F5:G5"/>
  </mergeCells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2.0"/>
    <col customWidth="1" min="3" max="7" width="14.0"/>
    <col customWidth="1" min="8" max="8" width="20.0"/>
    <col customWidth="1" min="9" max="10" width="3.0"/>
    <col customWidth="1" min="11" max="11" width="8.71"/>
  </cols>
  <sheetData>
    <row r="1" ht="21.75" customHeight="1">
      <c r="A1" s="1"/>
      <c r="B1" s="73" t="s">
        <v>198</v>
      </c>
      <c r="C1" s="3"/>
      <c r="D1" s="3"/>
      <c r="E1" s="3"/>
      <c r="F1" s="3"/>
      <c r="G1" s="3"/>
      <c r="H1" s="3"/>
      <c r="I1" s="1"/>
      <c r="J1" s="1"/>
      <c r="K1" s="4"/>
    </row>
    <row r="2" ht="21.75" customHeight="1">
      <c r="A2" s="1"/>
      <c r="B2" s="5"/>
      <c r="I2" s="1"/>
      <c r="J2" s="1"/>
      <c r="K2" s="4"/>
    </row>
    <row r="3" ht="21.75" customHeight="1">
      <c r="A3" s="1"/>
      <c r="B3" s="55"/>
      <c r="C3" s="55"/>
      <c r="D3" s="55"/>
      <c r="E3" s="55"/>
      <c r="F3" s="55"/>
      <c r="G3" s="55"/>
      <c r="H3" s="55"/>
      <c r="I3" s="1"/>
      <c r="J3" s="1"/>
      <c r="K3" s="4"/>
    </row>
    <row r="4" ht="21.75" customHeight="1">
      <c r="A4" s="1"/>
      <c r="B4" s="74" t="s">
        <v>199</v>
      </c>
      <c r="C4" s="7"/>
      <c r="D4" s="7"/>
      <c r="E4" s="7"/>
      <c r="F4" s="7"/>
      <c r="G4" s="7"/>
      <c r="H4" s="7"/>
      <c r="I4" s="1"/>
      <c r="J4" s="1"/>
      <c r="K4" s="4"/>
    </row>
    <row r="5" ht="19.5" customHeight="1">
      <c r="A5" s="1"/>
      <c r="B5" s="75" t="s">
        <v>200</v>
      </c>
      <c r="C5" s="75" t="s">
        <v>201</v>
      </c>
      <c r="D5" s="75" t="s">
        <v>202</v>
      </c>
      <c r="E5" s="75" t="s">
        <v>203</v>
      </c>
      <c r="F5" s="75" t="s">
        <v>204</v>
      </c>
      <c r="G5" s="75" t="s">
        <v>205</v>
      </c>
      <c r="H5" s="76" t="s">
        <v>206</v>
      </c>
      <c r="I5" s="1"/>
      <c r="J5" s="1"/>
      <c r="K5" s="4"/>
    </row>
    <row r="6" ht="19.5" customHeight="1">
      <c r="A6" s="1"/>
      <c r="B6" s="77" t="s">
        <v>207</v>
      </c>
      <c r="C6" s="78">
        <v>21000.0</v>
      </c>
      <c r="D6" s="78">
        <v>5000.0</v>
      </c>
      <c r="E6" s="78">
        <f t="shared" ref="E6:E13" si="1">C6-D6</f>
        <v>16000</v>
      </c>
      <c r="F6" s="77" t="s">
        <v>208</v>
      </c>
      <c r="G6" s="78">
        <f>IFERROR(E6/6,0)</f>
        <v>2666.666667</v>
      </c>
      <c r="H6" s="79" t="str">
        <f t="shared" ref="H6:H13" si="2">IFERROR(TEXT(D6/C6,"0%")&amp;" ★ "&amp;REPT("█",INT(D6/C6*10))&amp;REPT("░",10-INT(D6/C6*10))," ")</f>
        <v>24% ★ ██░░░░░░░░</v>
      </c>
      <c r="I6" s="1"/>
      <c r="J6" s="1"/>
      <c r="K6" s="4"/>
    </row>
    <row r="7" ht="19.5" customHeight="1">
      <c r="A7" s="1"/>
      <c r="B7" s="75" t="s">
        <v>209</v>
      </c>
      <c r="C7" s="80">
        <v>50000.0</v>
      </c>
      <c r="D7" s="80">
        <v>8000.0</v>
      </c>
      <c r="E7" s="80">
        <f t="shared" si="1"/>
        <v>42000</v>
      </c>
      <c r="F7" s="75" t="s">
        <v>210</v>
      </c>
      <c r="G7" s="80">
        <f>IFERROR(E7/18,0)</f>
        <v>2333.333333</v>
      </c>
      <c r="H7" s="76" t="str">
        <f t="shared" si="2"/>
        <v>16% ★ █░░░░░░░░░</v>
      </c>
      <c r="I7" s="1"/>
      <c r="J7" s="1"/>
      <c r="K7" s="4"/>
    </row>
    <row r="8" ht="19.5" customHeight="1">
      <c r="A8" s="1"/>
      <c r="B8" s="77" t="s">
        <v>211</v>
      </c>
      <c r="C8" s="78">
        <v>25000.0</v>
      </c>
      <c r="D8" s="78">
        <v>3000.0</v>
      </c>
      <c r="E8" s="78">
        <f t="shared" si="1"/>
        <v>22000</v>
      </c>
      <c r="F8" s="77" t="s">
        <v>212</v>
      </c>
      <c r="G8" s="78">
        <f>IFERROR(E8/12,0)</f>
        <v>1833.333333</v>
      </c>
      <c r="H8" s="79" t="str">
        <f t="shared" si="2"/>
        <v>12% ★ █░░░░░░░░░</v>
      </c>
      <c r="I8" s="1"/>
      <c r="J8" s="1"/>
      <c r="K8" s="4"/>
    </row>
    <row r="9" ht="19.5" customHeight="1">
      <c r="A9" s="1"/>
      <c r="B9" s="75" t="s">
        <v>213</v>
      </c>
      <c r="C9" s="80">
        <v>5000.0</v>
      </c>
      <c r="D9" s="80">
        <v>1500.0</v>
      </c>
      <c r="E9" s="80">
        <f t="shared" si="1"/>
        <v>3500</v>
      </c>
      <c r="F9" s="75" t="s">
        <v>214</v>
      </c>
      <c r="G9" s="80">
        <f>IFERROR(E9/3,0)</f>
        <v>1166.666667</v>
      </c>
      <c r="H9" s="76" t="str">
        <f t="shared" si="2"/>
        <v>30% ★ ███░░░░░░░</v>
      </c>
      <c r="I9" s="1"/>
      <c r="J9" s="1"/>
      <c r="K9" s="4"/>
    </row>
    <row r="10" ht="19.5" customHeight="1">
      <c r="A10" s="1"/>
      <c r="B10" s="77" t="s">
        <v>215</v>
      </c>
      <c r="C10" s="78">
        <v>8000.0</v>
      </c>
      <c r="D10" s="78">
        <v>2000.0</v>
      </c>
      <c r="E10" s="78">
        <f t="shared" si="1"/>
        <v>6000</v>
      </c>
      <c r="F10" s="77" t="s">
        <v>208</v>
      </c>
      <c r="G10" s="78">
        <f>IFERROR(E10/6,0)</f>
        <v>1000</v>
      </c>
      <c r="H10" s="79" t="str">
        <f t="shared" si="2"/>
        <v>25% ★ ██░░░░░░░░</v>
      </c>
      <c r="I10" s="1"/>
      <c r="J10" s="1"/>
      <c r="K10" s="4"/>
    </row>
    <row r="11" ht="19.5" customHeight="1">
      <c r="A11" s="1"/>
      <c r="B11" s="75" t="s">
        <v>216</v>
      </c>
      <c r="C11" s="80">
        <v>100000.0</v>
      </c>
      <c r="D11" s="80">
        <v>15000.0</v>
      </c>
      <c r="E11" s="80">
        <f t="shared" si="1"/>
        <v>85000</v>
      </c>
      <c r="F11" s="75" t="s">
        <v>217</v>
      </c>
      <c r="G11" s="80">
        <f>IFERROR(E11/24,0)</f>
        <v>3541.666667</v>
      </c>
      <c r="H11" s="76" t="str">
        <f t="shared" si="2"/>
        <v>15% ★ █░░░░░░░░░</v>
      </c>
      <c r="I11" s="1"/>
      <c r="J11" s="1"/>
      <c r="K11" s="4"/>
    </row>
    <row r="12" ht="19.5" customHeight="1">
      <c r="A12" s="1"/>
      <c r="B12" s="81" t="s">
        <v>218</v>
      </c>
      <c r="C12" s="82">
        <v>3000.0</v>
      </c>
      <c r="D12" s="83">
        <v>500.0</v>
      </c>
      <c r="E12" s="83">
        <f t="shared" si="1"/>
        <v>2500</v>
      </c>
      <c r="F12" s="84" t="s">
        <v>219</v>
      </c>
      <c r="G12" s="83">
        <f>IFERROR(E12/2,0)</f>
        <v>1250</v>
      </c>
      <c r="H12" s="85" t="str">
        <f t="shared" si="2"/>
        <v>17% ★ █░░░░░░░░░</v>
      </c>
      <c r="I12" s="1"/>
      <c r="J12" s="1"/>
      <c r="K12" s="4"/>
    </row>
    <row r="13" ht="19.5" customHeight="1">
      <c r="A13" s="1"/>
      <c r="B13" s="81" t="s">
        <v>220</v>
      </c>
      <c r="C13" s="82">
        <v>15000.0</v>
      </c>
      <c r="D13" s="83">
        <v>2000.0</v>
      </c>
      <c r="E13" s="83">
        <f t="shared" si="1"/>
        <v>13000</v>
      </c>
      <c r="F13" s="84" t="s">
        <v>221</v>
      </c>
      <c r="G13" s="83">
        <f>IFERROR(E13/8,0)</f>
        <v>1625</v>
      </c>
      <c r="H13" s="85" t="str">
        <f t="shared" si="2"/>
        <v>13% ★ █░░░░░░░░░</v>
      </c>
      <c r="I13" s="1"/>
      <c r="J13" s="1"/>
      <c r="K13" s="4"/>
    </row>
    <row r="14" ht="19.5" customHeight="1">
      <c r="A14" s="1"/>
      <c r="B14" s="86"/>
      <c r="C14" s="1"/>
      <c r="D14" s="1"/>
      <c r="E14" s="1"/>
      <c r="F14" s="1"/>
      <c r="G14" s="1"/>
      <c r="H14" s="1"/>
      <c r="I14" s="1"/>
      <c r="J14" s="1"/>
      <c r="K14" s="4"/>
    </row>
    <row r="15" ht="19.5" customHeight="1">
      <c r="A15" s="1"/>
      <c r="B15" s="87"/>
      <c r="C15" s="87"/>
      <c r="D15" s="87"/>
      <c r="E15" s="87"/>
      <c r="F15" s="87"/>
      <c r="G15" s="87"/>
      <c r="H15" s="87"/>
      <c r="I15" s="1"/>
      <c r="J15" s="1"/>
      <c r="K15" s="4"/>
    </row>
    <row r="16" ht="19.5" customHeight="1">
      <c r="A16" s="1"/>
      <c r="B16" s="74" t="s">
        <v>222</v>
      </c>
      <c r="C16" s="7"/>
      <c r="D16" s="7"/>
      <c r="E16" s="7"/>
      <c r="F16" s="7"/>
      <c r="G16" s="7"/>
      <c r="H16" s="7"/>
      <c r="I16" s="1"/>
      <c r="J16" s="1"/>
      <c r="K16" s="4"/>
    </row>
    <row r="17" ht="19.5" customHeight="1">
      <c r="A17" s="1"/>
      <c r="B17" s="75" t="s">
        <v>223</v>
      </c>
      <c r="C17" s="75" t="s">
        <v>224</v>
      </c>
      <c r="D17" s="75" t="s">
        <v>225</v>
      </c>
      <c r="E17" s="75" t="s">
        <v>226</v>
      </c>
      <c r="F17" s="75" t="s">
        <v>227</v>
      </c>
      <c r="G17" s="75" t="s">
        <v>228</v>
      </c>
      <c r="H17" s="75" t="s">
        <v>229</v>
      </c>
      <c r="I17" s="1"/>
      <c r="J17" s="1"/>
      <c r="K17" s="4"/>
    </row>
    <row r="18" ht="19.5" customHeight="1">
      <c r="A18" s="1"/>
      <c r="B18" s="77" t="s">
        <v>230</v>
      </c>
      <c r="C18" s="78">
        <v>2500.0</v>
      </c>
      <c r="D18" s="78">
        <v>2500.0</v>
      </c>
      <c r="E18" s="78">
        <v>416.0</v>
      </c>
      <c r="F18" s="88">
        <v>6.0</v>
      </c>
      <c r="G18" s="77" t="s">
        <v>214</v>
      </c>
      <c r="H18" s="89">
        <v>0.125</v>
      </c>
      <c r="I18" s="1"/>
      <c r="J18" s="1"/>
      <c r="K18" s="4"/>
    </row>
    <row r="19" ht="19.5" customHeight="1">
      <c r="A19" s="1"/>
      <c r="B19" s="75" t="s">
        <v>231</v>
      </c>
      <c r="C19" s="80">
        <v>8000.0</v>
      </c>
      <c r="D19" s="80">
        <v>6000.0</v>
      </c>
      <c r="E19" s="80">
        <v>500.0</v>
      </c>
      <c r="F19" s="90">
        <v>12.0</v>
      </c>
      <c r="G19" s="75" t="s">
        <v>232</v>
      </c>
      <c r="H19" s="91">
        <v>0.035</v>
      </c>
      <c r="I19" s="1"/>
      <c r="J19" s="1"/>
      <c r="K19" s="4"/>
    </row>
    <row r="20" ht="19.5" customHeight="1">
      <c r="A20" s="1"/>
      <c r="B20" s="81" t="s">
        <v>233</v>
      </c>
      <c r="C20" s="92">
        <v>1800.0</v>
      </c>
      <c r="D20" s="92">
        <v>900.0</v>
      </c>
      <c r="E20" s="92">
        <v>150.0</v>
      </c>
      <c r="F20" s="93">
        <v>6.0</v>
      </c>
      <c r="G20" s="84" t="s">
        <v>234</v>
      </c>
      <c r="H20" s="94">
        <v>0.0</v>
      </c>
      <c r="I20" s="1"/>
      <c r="J20" s="1"/>
      <c r="K20" s="4"/>
    </row>
    <row r="21" ht="19.5" customHeight="1">
      <c r="A21" s="1"/>
      <c r="B21" s="95" t="s">
        <v>235</v>
      </c>
      <c r="C21" s="7"/>
      <c r="D21" s="96">
        <f>SUM(D18:D20)</f>
        <v>9400</v>
      </c>
      <c r="E21" s="1"/>
      <c r="F21" s="1"/>
      <c r="G21" s="1"/>
      <c r="H21" s="1"/>
      <c r="I21" s="1"/>
      <c r="J21" s="1"/>
      <c r="K21" s="4"/>
    </row>
    <row r="22" ht="19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4"/>
    </row>
    <row r="23" ht="19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4"/>
    </row>
    <row r="24" ht="19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4"/>
    </row>
    <row r="25" ht="19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4"/>
    </row>
    <row r="26" ht="19.5" customHeight="1">
      <c r="A26" s="4"/>
      <c r="B26" s="4"/>
      <c r="C26" s="4"/>
      <c r="D26" s="48"/>
      <c r="E26" s="48"/>
      <c r="F26" s="48"/>
      <c r="G26" s="48"/>
      <c r="H26" s="48"/>
      <c r="I26" s="4"/>
      <c r="J26" s="4"/>
      <c r="K26" s="4"/>
    </row>
    <row r="27" ht="19.5" customHeight="1">
      <c r="A27" s="4"/>
      <c r="B27" s="4"/>
      <c r="C27" s="4"/>
      <c r="D27" s="48"/>
      <c r="E27" s="48"/>
      <c r="F27" s="48"/>
      <c r="G27" s="48"/>
      <c r="H27" s="48"/>
      <c r="I27" s="4"/>
      <c r="J27" s="4"/>
      <c r="K27" s="4"/>
    </row>
    <row r="28" ht="19.5" customHeight="1">
      <c r="A28" s="4"/>
      <c r="B28" s="4"/>
      <c r="C28" s="4"/>
      <c r="D28" s="48"/>
      <c r="E28" s="48"/>
      <c r="F28" s="48"/>
      <c r="G28" s="48"/>
      <c r="H28" s="48"/>
      <c r="I28" s="4"/>
      <c r="J28" s="4"/>
      <c r="K28" s="4"/>
    </row>
    <row r="29" ht="19.5" customHeight="1">
      <c r="A29" s="4"/>
      <c r="B29" s="4"/>
      <c r="C29" s="4"/>
      <c r="D29" s="48"/>
      <c r="E29" s="48"/>
      <c r="F29" s="48"/>
      <c r="G29" s="48"/>
      <c r="H29" s="48"/>
      <c r="I29" s="4"/>
      <c r="J29" s="4"/>
      <c r="K29" s="4"/>
    </row>
    <row r="30" ht="19.5" customHeight="1">
      <c r="A30" s="4"/>
      <c r="B30" s="4"/>
      <c r="C30" s="4"/>
      <c r="D30" s="48"/>
      <c r="E30" s="48"/>
      <c r="F30" s="48"/>
      <c r="G30" s="48"/>
      <c r="H30" s="48"/>
      <c r="I30" s="4"/>
      <c r="J30" s="4"/>
      <c r="K30" s="4"/>
    </row>
    <row r="31" ht="19.5" customHeight="1">
      <c r="A31" s="4"/>
      <c r="B31" s="4"/>
      <c r="C31" s="4"/>
      <c r="D31" s="48"/>
      <c r="E31" s="48"/>
      <c r="F31" s="48"/>
      <c r="G31" s="48"/>
      <c r="H31" s="48"/>
      <c r="I31" s="4"/>
      <c r="J31" s="4"/>
      <c r="K31" s="4"/>
    </row>
    <row r="32" ht="19.5" customHeight="1">
      <c r="A32" s="4"/>
      <c r="B32" s="4"/>
      <c r="C32" s="4"/>
      <c r="D32" s="48"/>
      <c r="E32" s="48"/>
      <c r="F32" s="48"/>
      <c r="G32" s="48"/>
      <c r="H32" s="48"/>
      <c r="I32" s="4"/>
      <c r="J32" s="4"/>
      <c r="K32" s="4"/>
    </row>
    <row r="33" ht="19.5" customHeight="1">
      <c r="A33" s="4"/>
      <c r="B33" s="4"/>
      <c r="C33" s="4"/>
      <c r="D33" s="48"/>
      <c r="E33" s="48"/>
      <c r="F33" s="48"/>
      <c r="G33" s="48"/>
      <c r="H33" s="48"/>
      <c r="I33" s="4"/>
      <c r="J33" s="4"/>
      <c r="K33" s="4"/>
    </row>
    <row r="34" ht="19.5" customHeight="1">
      <c r="A34" s="4"/>
      <c r="B34" s="4"/>
      <c r="C34" s="4"/>
      <c r="D34" s="48"/>
      <c r="E34" s="48"/>
      <c r="F34" s="48"/>
      <c r="G34" s="48"/>
      <c r="H34" s="48"/>
      <c r="I34" s="4"/>
      <c r="J34" s="4"/>
      <c r="K34" s="4"/>
    </row>
    <row r="35" ht="19.5" customHeight="1">
      <c r="A35" s="4"/>
      <c r="B35" s="4"/>
      <c r="C35" s="4"/>
      <c r="D35" s="48"/>
      <c r="E35" s="48"/>
      <c r="F35" s="48"/>
      <c r="G35" s="48"/>
      <c r="H35" s="48"/>
      <c r="I35" s="4"/>
      <c r="J35" s="4"/>
      <c r="K35" s="4"/>
    </row>
    <row r="36" ht="19.5" customHeight="1">
      <c r="A36" s="4"/>
      <c r="B36" s="4"/>
      <c r="C36" s="4"/>
      <c r="D36" s="48"/>
      <c r="E36" s="48"/>
      <c r="F36" s="48"/>
      <c r="G36" s="48"/>
      <c r="H36" s="48"/>
      <c r="I36" s="4"/>
      <c r="J36" s="4"/>
      <c r="K36" s="4"/>
    </row>
    <row r="37" ht="19.5" customHeight="1">
      <c r="A37" s="4"/>
      <c r="B37" s="4"/>
      <c r="C37" s="4"/>
      <c r="D37" s="48"/>
      <c r="E37" s="48"/>
      <c r="F37" s="48"/>
      <c r="G37" s="48"/>
      <c r="H37" s="48"/>
      <c r="I37" s="4"/>
      <c r="J37" s="4"/>
      <c r="K37" s="4"/>
    </row>
    <row r="38" ht="19.5" customHeight="1">
      <c r="A38" s="4"/>
      <c r="B38" s="4"/>
      <c r="C38" s="4"/>
      <c r="D38" s="48"/>
      <c r="E38" s="48"/>
      <c r="F38" s="48"/>
      <c r="G38" s="48"/>
      <c r="H38" s="48"/>
      <c r="I38" s="4"/>
      <c r="J38" s="4"/>
      <c r="K38" s="4"/>
    </row>
    <row r="39" ht="19.5" customHeight="1">
      <c r="A39" s="4"/>
      <c r="B39" s="4"/>
      <c r="C39" s="4"/>
      <c r="D39" s="48"/>
      <c r="E39" s="48"/>
      <c r="F39" s="48"/>
      <c r="G39" s="48"/>
      <c r="H39" s="48"/>
      <c r="I39" s="4"/>
      <c r="J39" s="4"/>
      <c r="K39" s="4"/>
    </row>
    <row r="40" ht="19.5" customHeight="1">
      <c r="A40" s="4"/>
      <c r="B40" s="4"/>
      <c r="C40" s="4"/>
      <c r="D40" s="48"/>
      <c r="E40" s="48"/>
      <c r="F40" s="48"/>
      <c r="G40" s="48"/>
      <c r="H40" s="48"/>
      <c r="I40" s="4"/>
      <c r="J40" s="4"/>
      <c r="K40" s="4"/>
    </row>
    <row r="41" ht="19.5" customHeight="1">
      <c r="A41" s="4"/>
      <c r="B41" s="4"/>
      <c r="C41" s="4"/>
      <c r="D41" s="48"/>
      <c r="E41" s="48"/>
      <c r="F41" s="48"/>
      <c r="G41" s="48"/>
      <c r="H41" s="48"/>
      <c r="I41" s="4"/>
      <c r="J41" s="4"/>
      <c r="K41" s="4"/>
    </row>
    <row r="42" ht="19.5" customHeight="1">
      <c r="A42" s="4"/>
      <c r="B42" s="4"/>
      <c r="C42" s="4"/>
      <c r="D42" s="48"/>
      <c r="E42" s="48"/>
      <c r="F42" s="48"/>
      <c r="G42" s="48"/>
      <c r="H42" s="48"/>
      <c r="I42" s="4"/>
      <c r="J42" s="4"/>
      <c r="K42" s="4"/>
    </row>
    <row r="43" ht="19.5" customHeight="1">
      <c r="A43" s="4"/>
      <c r="B43" s="4"/>
      <c r="C43" s="4"/>
      <c r="D43" s="48"/>
      <c r="E43" s="48"/>
      <c r="F43" s="48"/>
      <c r="G43" s="48"/>
      <c r="H43" s="48"/>
      <c r="I43" s="4"/>
      <c r="J43" s="4"/>
      <c r="K43" s="4"/>
    </row>
    <row r="44" ht="19.5" customHeight="1">
      <c r="A44" s="4"/>
      <c r="B44" s="4"/>
      <c r="C44" s="4"/>
      <c r="D44" s="48"/>
      <c r="E44" s="48"/>
      <c r="F44" s="48"/>
      <c r="G44" s="48"/>
      <c r="H44" s="48"/>
      <c r="I44" s="4"/>
      <c r="J44" s="4"/>
      <c r="K44" s="4"/>
    </row>
    <row r="45" ht="19.5" customHeight="1">
      <c r="A45" s="4"/>
      <c r="B45" s="4"/>
      <c r="C45" s="4"/>
      <c r="D45" s="48"/>
      <c r="E45" s="48"/>
      <c r="F45" s="48"/>
      <c r="G45" s="48"/>
      <c r="H45" s="48"/>
      <c r="I45" s="4"/>
      <c r="J45" s="4"/>
      <c r="K45" s="4"/>
    </row>
    <row r="46" ht="19.5" customHeight="1">
      <c r="A46" s="4"/>
      <c r="B46" s="4"/>
      <c r="C46" s="4"/>
      <c r="D46" s="48"/>
      <c r="E46" s="48"/>
      <c r="F46" s="48"/>
      <c r="G46" s="48"/>
      <c r="H46" s="48"/>
      <c r="I46" s="4"/>
      <c r="J46" s="4"/>
      <c r="K46" s="4"/>
    </row>
    <row r="47" ht="19.5" customHeight="1">
      <c r="A47" s="4"/>
      <c r="B47" s="4"/>
      <c r="C47" s="4"/>
      <c r="D47" s="48"/>
      <c r="E47" s="48"/>
      <c r="F47" s="48"/>
      <c r="G47" s="48"/>
      <c r="H47" s="48"/>
      <c r="I47" s="4"/>
      <c r="J47" s="4"/>
      <c r="K47" s="4"/>
    </row>
    <row r="48" ht="19.5" customHeight="1">
      <c r="A48" s="4"/>
      <c r="B48" s="4"/>
      <c r="C48" s="4"/>
      <c r="D48" s="48"/>
      <c r="E48" s="48"/>
      <c r="F48" s="48"/>
      <c r="G48" s="48"/>
      <c r="H48" s="48"/>
      <c r="I48" s="4"/>
      <c r="J48" s="4"/>
      <c r="K48" s="4"/>
    </row>
    <row r="49" ht="19.5" customHeight="1">
      <c r="A49" s="4"/>
      <c r="B49" s="4"/>
      <c r="C49" s="4"/>
      <c r="D49" s="48"/>
      <c r="E49" s="48"/>
      <c r="F49" s="48"/>
      <c r="G49" s="48"/>
      <c r="H49" s="48"/>
      <c r="I49" s="4"/>
      <c r="J49" s="4"/>
      <c r="K49" s="4"/>
    </row>
    <row r="50" ht="19.5" customHeight="1">
      <c r="A50" s="4"/>
      <c r="B50" s="4"/>
      <c r="C50" s="4"/>
      <c r="D50" s="48"/>
      <c r="E50" s="48"/>
      <c r="F50" s="48"/>
      <c r="G50" s="48"/>
      <c r="H50" s="48"/>
      <c r="I50" s="4"/>
      <c r="J50" s="4"/>
      <c r="K50" s="4"/>
    </row>
    <row r="51" ht="19.5" customHeight="1">
      <c r="A51" s="4"/>
      <c r="B51" s="4"/>
      <c r="C51" s="4"/>
      <c r="D51" s="48"/>
      <c r="E51" s="48"/>
      <c r="F51" s="48"/>
      <c r="G51" s="48"/>
      <c r="H51" s="48"/>
      <c r="I51" s="4"/>
      <c r="J51" s="4"/>
      <c r="K51" s="4"/>
    </row>
    <row r="52" ht="19.5" customHeight="1">
      <c r="A52" s="4"/>
      <c r="B52" s="4"/>
      <c r="C52" s="4"/>
      <c r="D52" s="48"/>
      <c r="E52" s="48"/>
      <c r="F52" s="48"/>
      <c r="G52" s="48"/>
      <c r="H52" s="48"/>
      <c r="I52" s="4"/>
      <c r="J52" s="4"/>
      <c r="K52" s="4"/>
    </row>
    <row r="53" ht="19.5" customHeight="1">
      <c r="A53" s="4"/>
      <c r="B53" s="4"/>
      <c r="C53" s="4"/>
      <c r="D53" s="48"/>
      <c r="E53" s="48"/>
      <c r="F53" s="48"/>
      <c r="G53" s="48"/>
      <c r="H53" s="48"/>
      <c r="I53" s="4"/>
      <c r="J53" s="4"/>
      <c r="K53" s="4"/>
    </row>
    <row r="54" ht="19.5" customHeight="1">
      <c r="A54" s="4"/>
      <c r="B54" s="4"/>
      <c r="C54" s="4"/>
      <c r="D54" s="48"/>
      <c r="E54" s="48"/>
      <c r="F54" s="48"/>
      <c r="G54" s="48"/>
      <c r="H54" s="48"/>
      <c r="I54" s="4"/>
      <c r="J54" s="4"/>
      <c r="K54" s="4"/>
    </row>
    <row r="55" ht="19.5" customHeight="1">
      <c r="A55" s="4"/>
      <c r="B55" s="4"/>
      <c r="C55" s="4"/>
      <c r="D55" s="48"/>
      <c r="E55" s="48"/>
      <c r="F55" s="48"/>
      <c r="G55" s="48"/>
      <c r="H55" s="48"/>
      <c r="I55" s="4"/>
      <c r="J55" s="4"/>
      <c r="K55" s="4"/>
    </row>
    <row r="56" ht="19.5" customHeight="1">
      <c r="A56" s="4"/>
      <c r="B56" s="4"/>
      <c r="C56" s="4"/>
      <c r="D56" s="48"/>
      <c r="E56" s="48"/>
      <c r="F56" s="48"/>
      <c r="G56" s="48"/>
      <c r="H56" s="48"/>
      <c r="I56" s="4"/>
      <c r="J56" s="4"/>
      <c r="K56" s="4"/>
    </row>
    <row r="57" ht="19.5" customHeight="1">
      <c r="A57" s="4"/>
      <c r="B57" s="4"/>
      <c r="C57" s="4"/>
      <c r="D57" s="48"/>
      <c r="E57" s="48"/>
      <c r="F57" s="48"/>
      <c r="G57" s="48"/>
      <c r="H57" s="48"/>
      <c r="I57" s="4"/>
      <c r="J57" s="4"/>
      <c r="K57" s="4"/>
    </row>
    <row r="58" ht="19.5" customHeight="1">
      <c r="A58" s="4"/>
      <c r="B58" s="4"/>
      <c r="C58" s="4"/>
      <c r="D58" s="48"/>
      <c r="E58" s="48"/>
      <c r="F58" s="48"/>
      <c r="G58" s="48"/>
      <c r="H58" s="48"/>
      <c r="I58" s="4"/>
      <c r="J58" s="4"/>
      <c r="K58" s="4"/>
    </row>
    <row r="59" ht="19.5" customHeight="1">
      <c r="A59" s="4"/>
      <c r="B59" s="4"/>
      <c r="C59" s="4"/>
      <c r="D59" s="48"/>
      <c r="E59" s="48"/>
      <c r="F59" s="48"/>
      <c r="G59" s="48"/>
      <c r="H59" s="48"/>
      <c r="I59" s="4"/>
      <c r="J59" s="4"/>
      <c r="K59" s="4"/>
    </row>
    <row r="60" ht="19.5" customHeight="1">
      <c r="A60" s="4"/>
      <c r="B60" s="4"/>
      <c r="C60" s="4"/>
      <c r="D60" s="48"/>
      <c r="E60" s="48"/>
      <c r="F60" s="48"/>
      <c r="G60" s="48"/>
      <c r="H60" s="48"/>
      <c r="I60" s="4"/>
      <c r="J60" s="4"/>
      <c r="K60" s="4"/>
    </row>
    <row r="61" ht="19.5" customHeight="1">
      <c r="A61" s="4"/>
      <c r="B61" s="4"/>
      <c r="C61" s="4"/>
      <c r="D61" s="48"/>
      <c r="E61" s="48"/>
      <c r="F61" s="48"/>
      <c r="G61" s="48"/>
      <c r="H61" s="48"/>
      <c r="I61" s="4"/>
      <c r="J61" s="4"/>
      <c r="K61" s="4"/>
    </row>
    <row r="62" ht="19.5" customHeight="1">
      <c r="A62" s="4"/>
      <c r="B62" s="4"/>
      <c r="C62" s="4"/>
      <c r="D62" s="48"/>
      <c r="E62" s="48"/>
      <c r="F62" s="48"/>
      <c r="G62" s="48"/>
      <c r="H62" s="48"/>
      <c r="I62" s="4"/>
      <c r="J62" s="4"/>
      <c r="K62" s="4"/>
    </row>
    <row r="63" ht="19.5" customHeight="1">
      <c r="A63" s="4"/>
      <c r="B63" s="4"/>
      <c r="C63" s="4"/>
      <c r="D63" s="48"/>
      <c r="E63" s="48"/>
      <c r="F63" s="48"/>
      <c r="G63" s="48"/>
      <c r="H63" s="48"/>
      <c r="I63" s="4"/>
      <c r="J63" s="4"/>
      <c r="K63" s="4"/>
    </row>
    <row r="64" ht="19.5" customHeight="1">
      <c r="A64" s="4"/>
      <c r="B64" s="4"/>
      <c r="C64" s="4"/>
      <c r="D64" s="48"/>
      <c r="E64" s="48"/>
      <c r="F64" s="48"/>
      <c r="G64" s="48"/>
      <c r="H64" s="48"/>
      <c r="I64" s="4"/>
      <c r="J64" s="4"/>
      <c r="K64" s="4"/>
    </row>
    <row r="65" ht="19.5" customHeight="1">
      <c r="A65" s="4"/>
      <c r="B65" s="4"/>
      <c r="C65" s="4"/>
      <c r="D65" s="48"/>
      <c r="E65" s="48"/>
      <c r="F65" s="48"/>
      <c r="G65" s="48"/>
      <c r="H65" s="48"/>
      <c r="I65" s="4"/>
      <c r="J65" s="4"/>
      <c r="K65" s="4"/>
    </row>
    <row r="66" ht="19.5" customHeight="1">
      <c r="A66" s="4"/>
      <c r="B66" s="4"/>
      <c r="C66" s="4"/>
      <c r="D66" s="48"/>
      <c r="E66" s="48"/>
      <c r="F66" s="48"/>
      <c r="G66" s="48"/>
      <c r="H66" s="48"/>
      <c r="I66" s="4"/>
      <c r="J66" s="4"/>
      <c r="K66" s="4"/>
    </row>
    <row r="67" ht="19.5" customHeight="1">
      <c r="A67" s="4"/>
      <c r="B67" s="4"/>
      <c r="C67" s="4"/>
      <c r="D67" s="48"/>
      <c r="E67" s="48"/>
      <c r="F67" s="48"/>
      <c r="G67" s="48"/>
      <c r="H67" s="48"/>
      <c r="I67" s="4"/>
      <c r="J67" s="4"/>
      <c r="K67" s="4"/>
    </row>
    <row r="68" ht="19.5" customHeight="1">
      <c r="A68" s="4"/>
      <c r="B68" s="4"/>
      <c r="C68" s="4"/>
      <c r="D68" s="48"/>
      <c r="E68" s="48"/>
      <c r="F68" s="48"/>
      <c r="G68" s="48"/>
      <c r="H68" s="48"/>
      <c r="I68" s="4"/>
      <c r="J68" s="4"/>
      <c r="K68" s="4"/>
    </row>
    <row r="69" ht="19.5" customHeight="1">
      <c r="A69" s="4"/>
      <c r="B69" s="4"/>
      <c r="C69" s="4"/>
      <c r="D69" s="48"/>
      <c r="E69" s="48"/>
      <c r="F69" s="48"/>
      <c r="G69" s="48"/>
      <c r="H69" s="48"/>
      <c r="I69" s="4"/>
      <c r="J69" s="4"/>
      <c r="K69" s="4"/>
    </row>
    <row r="70" ht="19.5" customHeight="1">
      <c r="A70" s="4"/>
      <c r="B70" s="4"/>
      <c r="C70" s="4"/>
      <c r="D70" s="48"/>
      <c r="E70" s="48"/>
      <c r="F70" s="48"/>
      <c r="G70" s="48"/>
      <c r="H70" s="48"/>
      <c r="I70" s="4"/>
      <c r="J70" s="4"/>
      <c r="K70" s="4"/>
    </row>
    <row r="71" ht="19.5" customHeight="1">
      <c r="A71" s="4"/>
      <c r="B71" s="4"/>
      <c r="C71" s="4"/>
      <c r="D71" s="48"/>
      <c r="E71" s="48"/>
      <c r="F71" s="48"/>
      <c r="G71" s="48"/>
      <c r="H71" s="48"/>
      <c r="I71" s="4"/>
      <c r="J71" s="4"/>
      <c r="K71" s="4"/>
    </row>
    <row r="72" ht="19.5" customHeight="1">
      <c r="A72" s="4"/>
      <c r="B72" s="4"/>
      <c r="C72" s="4"/>
      <c r="D72" s="48"/>
      <c r="E72" s="48"/>
      <c r="F72" s="48"/>
      <c r="G72" s="48"/>
      <c r="H72" s="48"/>
      <c r="I72" s="4"/>
      <c r="J72" s="4"/>
      <c r="K72" s="4"/>
    </row>
    <row r="73" ht="19.5" customHeight="1">
      <c r="A73" s="4"/>
      <c r="B73" s="4"/>
      <c r="C73" s="4"/>
      <c r="D73" s="48"/>
      <c r="E73" s="48"/>
      <c r="F73" s="48"/>
      <c r="G73" s="48"/>
      <c r="H73" s="48"/>
      <c r="I73" s="4"/>
      <c r="J73" s="4"/>
      <c r="K73" s="4"/>
    </row>
    <row r="74" ht="19.5" customHeight="1">
      <c r="A74" s="4"/>
      <c r="B74" s="4"/>
      <c r="C74" s="4"/>
      <c r="D74" s="48"/>
      <c r="E74" s="48"/>
      <c r="F74" s="48"/>
      <c r="G74" s="48"/>
      <c r="H74" s="48"/>
      <c r="I74" s="4"/>
      <c r="J74" s="4"/>
      <c r="K74" s="4"/>
    </row>
    <row r="75" ht="19.5" customHeight="1">
      <c r="A75" s="4"/>
      <c r="B75" s="4"/>
      <c r="C75" s="4"/>
      <c r="D75" s="48"/>
      <c r="E75" s="48"/>
      <c r="F75" s="48"/>
      <c r="G75" s="48"/>
      <c r="H75" s="48"/>
      <c r="I75" s="4"/>
      <c r="J75" s="4"/>
      <c r="K75" s="4"/>
    </row>
    <row r="76" ht="19.5" customHeight="1">
      <c r="A76" s="4"/>
      <c r="B76" s="4"/>
      <c r="C76" s="4"/>
      <c r="D76" s="48"/>
      <c r="E76" s="48"/>
      <c r="F76" s="48"/>
      <c r="G76" s="48"/>
      <c r="H76" s="48"/>
      <c r="I76" s="4"/>
      <c r="J76" s="4"/>
      <c r="K76" s="4"/>
    </row>
    <row r="77" ht="19.5" customHeight="1">
      <c r="A77" s="4"/>
      <c r="B77" s="4"/>
      <c r="C77" s="4"/>
      <c r="D77" s="48"/>
      <c r="E77" s="48"/>
      <c r="F77" s="48"/>
      <c r="G77" s="48"/>
      <c r="H77" s="48"/>
      <c r="I77" s="4"/>
      <c r="J77" s="4"/>
      <c r="K77" s="4"/>
    </row>
    <row r="78" ht="19.5" customHeight="1">
      <c r="A78" s="4"/>
      <c r="B78" s="4"/>
      <c r="C78" s="4"/>
      <c r="D78" s="48"/>
      <c r="E78" s="48"/>
      <c r="F78" s="48"/>
      <c r="G78" s="48"/>
      <c r="H78" s="48"/>
      <c r="I78" s="4"/>
      <c r="J78" s="4"/>
      <c r="K78" s="4"/>
    </row>
    <row r="79" ht="19.5" customHeight="1">
      <c r="A79" s="4"/>
      <c r="B79" s="4"/>
      <c r="C79" s="4"/>
      <c r="D79" s="48"/>
      <c r="E79" s="48"/>
      <c r="F79" s="48"/>
      <c r="G79" s="48"/>
      <c r="H79" s="48"/>
      <c r="I79" s="4"/>
      <c r="J79" s="4"/>
      <c r="K79" s="4"/>
    </row>
    <row r="80" ht="15.75" customHeight="1">
      <c r="A80" s="4"/>
      <c r="B80" s="4"/>
      <c r="C80" s="4"/>
      <c r="D80" s="48"/>
      <c r="E80" s="48"/>
      <c r="F80" s="48"/>
      <c r="G80" s="48"/>
      <c r="H80" s="48"/>
      <c r="I80" s="4"/>
      <c r="J80" s="4"/>
      <c r="K80" s="4"/>
    </row>
    <row r="81" ht="15.75" customHeight="1">
      <c r="A81" s="4"/>
      <c r="B81" s="4"/>
      <c r="C81" s="4"/>
      <c r="D81" s="48"/>
      <c r="E81" s="48"/>
      <c r="F81" s="48"/>
      <c r="G81" s="48"/>
      <c r="H81" s="48"/>
      <c r="I81" s="4"/>
      <c r="J81" s="4"/>
      <c r="K81" s="4"/>
    </row>
    <row r="82" ht="15.75" customHeight="1">
      <c r="A82" s="4"/>
      <c r="B82" s="4"/>
      <c r="C82" s="4"/>
      <c r="D82" s="48"/>
      <c r="E82" s="48"/>
      <c r="F82" s="48"/>
      <c r="G82" s="48"/>
      <c r="H82" s="48"/>
      <c r="I82" s="4"/>
      <c r="J82" s="4"/>
      <c r="K82" s="4"/>
    </row>
    <row r="83" ht="15.75" customHeight="1">
      <c r="A83" s="4"/>
      <c r="B83" s="4"/>
      <c r="C83" s="4"/>
      <c r="D83" s="48"/>
      <c r="E83" s="48"/>
      <c r="F83" s="48"/>
      <c r="G83" s="48"/>
      <c r="H83" s="48"/>
      <c r="I83" s="4"/>
      <c r="J83" s="4"/>
      <c r="K83" s="4"/>
    </row>
    <row r="84" ht="15.75" customHeight="1">
      <c r="A84" s="4"/>
      <c r="B84" s="4"/>
      <c r="C84" s="4"/>
      <c r="D84" s="48"/>
      <c r="E84" s="48"/>
      <c r="F84" s="48"/>
      <c r="G84" s="48"/>
      <c r="H84" s="48"/>
      <c r="I84" s="4"/>
      <c r="J84" s="4"/>
      <c r="K84" s="4"/>
    </row>
    <row r="85" ht="15.75" customHeight="1">
      <c r="A85" s="4"/>
      <c r="B85" s="4"/>
      <c r="C85" s="4"/>
      <c r="D85" s="48"/>
      <c r="E85" s="48"/>
      <c r="F85" s="48"/>
      <c r="G85" s="48"/>
      <c r="H85" s="48"/>
      <c r="I85" s="4"/>
      <c r="J85" s="4"/>
      <c r="K85" s="4"/>
    </row>
    <row r="86" ht="15.75" customHeight="1">
      <c r="A86" s="4"/>
      <c r="B86" s="4"/>
      <c r="C86" s="4"/>
      <c r="D86" s="48"/>
      <c r="E86" s="48"/>
      <c r="F86" s="48"/>
      <c r="G86" s="48"/>
      <c r="H86" s="48"/>
      <c r="I86" s="4"/>
      <c r="J86" s="4"/>
      <c r="K86" s="4"/>
    </row>
    <row r="87" ht="15.75" customHeight="1">
      <c r="A87" s="4"/>
      <c r="B87" s="4"/>
      <c r="C87" s="4"/>
      <c r="D87" s="48"/>
      <c r="E87" s="48"/>
      <c r="F87" s="48"/>
      <c r="G87" s="48"/>
      <c r="H87" s="48"/>
      <c r="I87" s="4"/>
      <c r="J87" s="4"/>
      <c r="K87" s="4"/>
    </row>
    <row r="88" ht="15.75" customHeight="1">
      <c r="A88" s="4"/>
      <c r="B88" s="4"/>
      <c r="C88" s="4"/>
      <c r="D88" s="48"/>
      <c r="E88" s="48"/>
      <c r="F88" s="48"/>
      <c r="G88" s="48"/>
      <c r="H88" s="48"/>
      <c r="I88" s="4"/>
      <c r="J88" s="4"/>
      <c r="K88" s="4"/>
    </row>
    <row r="89" ht="15.75" customHeight="1">
      <c r="A89" s="4"/>
      <c r="B89" s="4"/>
      <c r="C89" s="4"/>
      <c r="D89" s="48"/>
      <c r="E89" s="48"/>
      <c r="F89" s="48"/>
      <c r="G89" s="48"/>
      <c r="H89" s="48"/>
      <c r="I89" s="4"/>
      <c r="J89" s="4"/>
      <c r="K89" s="4"/>
    </row>
    <row r="90" ht="15.75" customHeight="1">
      <c r="A90" s="4"/>
      <c r="B90" s="4"/>
      <c r="C90" s="4"/>
      <c r="D90" s="48"/>
      <c r="E90" s="48"/>
      <c r="F90" s="48"/>
      <c r="G90" s="48"/>
      <c r="H90" s="48"/>
      <c r="I90" s="4"/>
      <c r="J90" s="4"/>
      <c r="K90" s="4"/>
    </row>
    <row r="91" ht="15.75" customHeight="1">
      <c r="A91" s="4"/>
      <c r="B91" s="4"/>
      <c r="C91" s="4"/>
      <c r="D91" s="48"/>
      <c r="E91" s="48"/>
      <c r="F91" s="48"/>
      <c r="G91" s="48"/>
      <c r="H91" s="48"/>
      <c r="I91" s="4"/>
      <c r="J91" s="4"/>
      <c r="K91" s="4"/>
    </row>
    <row r="92" ht="15.75" customHeight="1">
      <c r="A92" s="4"/>
      <c r="B92" s="4"/>
      <c r="C92" s="4"/>
      <c r="D92" s="48"/>
      <c r="E92" s="48"/>
      <c r="F92" s="48"/>
      <c r="G92" s="48"/>
      <c r="H92" s="48"/>
      <c r="I92" s="4"/>
      <c r="J92" s="4"/>
      <c r="K92" s="4"/>
    </row>
    <row r="93" ht="15.75" customHeight="1">
      <c r="A93" s="4"/>
      <c r="B93" s="4"/>
      <c r="C93" s="4"/>
      <c r="D93" s="48"/>
      <c r="E93" s="48"/>
      <c r="F93" s="48"/>
      <c r="G93" s="48"/>
      <c r="H93" s="48"/>
      <c r="I93" s="4"/>
      <c r="J93" s="4"/>
      <c r="K93" s="4"/>
    </row>
    <row r="94" ht="15.75" customHeight="1">
      <c r="A94" s="4"/>
      <c r="B94" s="4"/>
      <c r="C94" s="4"/>
      <c r="D94" s="48"/>
      <c r="E94" s="48"/>
      <c r="F94" s="48"/>
      <c r="G94" s="48"/>
      <c r="H94" s="48"/>
      <c r="I94" s="4"/>
      <c r="J94" s="4"/>
      <c r="K94" s="4"/>
    </row>
    <row r="95" ht="15.75" customHeight="1">
      <c r="A95" s="4"/>
      <c r="B95" s="4"/>
      <c r="C95" s="4"/>
      <c r="D95" s="48"/>
      <c r="E95" s="48"/>
      <c r="F95" s="48"/>
      <c r="G95" s="48"/>
      <c r="H95" s="48"/>
      <c r="I95" s="4"/>
      <c r="J95" s="4"/>
      <c r="K95" s="4"/>
    </row>
    <row r="96" ht="15.75" customHeight="1">
      <c r="A96" s="4"/>
      <c r="B96" s="4"/>
      <c r="C96" s="4"/>
      <c r="D96" s="48"/>
      <c r="E96" s="48"/>
      <c r="F96" s="48"/>
      <c r="G96" s="48"/>
      <c r="H96" s="48"/>
      <c r="I96" s="4"/>
      <c r="J96" s="4"/>
      <c r="K96" s="4"/>
    </row>
    <row r="97" ht="15.75" customHeight="1">
      <c r="A97" s="4"/>
      <c r="B97" s="4"/>
      <c r="C97" s="4"/>
      <c r="D97" s="48"/>
      <c r="E97" s="48"/>
      <c r="F97" s="48"/>
      <c r="G97" s="48"/>
      <c r="H97" s="48"/>
      <c r="I97" s="4"/>
      <c r="J97" s="4"/>
      <c r="K97" s="4"/>
    </row>
    <row r="98" ht="15.75" customHeight="1">
      <c r="A98" s="4"/>
      <c r="B98" s="4"/>
      <c r="C98" s="4"/>
      <c r="D98" s="48"/>
      <c r="E98" s="48"/>
      <c r="F98" s="48"/>
      <c r="G98" s="48"/>
      <c r="H98" s="48"/>
      <c r="I98" s="4"/>
      <c r="J98" s="4"/>
      <c r="K98" s="4"/>
    </row>
    <row r="99" ht="15.75" customHeight="1">
      <c r="A99" s="4"/>
      <c r="B99" s="4"/>
      <c r="C99" s="4"/>
      <c r="D99" s="48"/>
      <c r="E99" s="48"/>
      <c r="F99" s="48"/>
      <c r="G99" s="48"/>
      <c r="H99" s="48"/>
      <c r="I99" s="4"/>
      <c r="J99" s="4"/>
      <c r="K99" s="4"/>
    </row>
    <row r="100" ht="15.75" customHeight="1">
      <c r="A100" s="4"/>
      <c r="B100" s="4"/>
      <c r="C100" s="4"/>
      <c r="D100" s="48"/>
      <c r="E100" s="48"/>
      <c r="F100" s="48"/>
      <c r="G100" s="48"/>
      <c r="H100" s="48"/>
      <c r="I100" s="4"/>
      <c r="J100" s="4"/>
      <c r="K100" s="4"/>
    </row>
    <row r="101" ht="15.75" customHeight="1">
      <c r="A101" s="4"/>
      <c r="B101" s="4"/>
      <c r="C101" s="4"/>
      <c r="D101" s="48"/>
      <c r="E101" s="48"/>
      <c r="F101" s="48"/>
      <c r="G101" s="48"/>
      <c r="H101" s="48"/>
      <c r="I101" s="4"/>
      <c r="J101" s="4"/>
      <c r="K101" s="4"/>
    </row>
    <row r="102" ht="15.75" customHeight="1">
      <c r="A102" s="4"/>
      <c r="B102" s="4"/>
      <c r="C102" s="4"/>
      <c r="D102" s="48"/>
      <c r="E102" s="48"/>
      <c r="F102" s="48"/>
      <c r="G102" s="48"/>
      <c r="H102" s="48"/>
      <c r="I102" s="4"/>
      <c r="J102" s="4"/>
      <c r="K102" s="4"/>
    </row>
    <row r="103" ht="15.75" customHeight="1">
      <c r="A103" s="4"/>
      <c r="B103" s="4"/>
      <c r="C103" s="4"/>
      <c r="D103" s="48"/>
      <c r="E103" s="48"/>
      <c r="F103" s="48"/>
      <c r="G103" s="48"/>
      <c r="H103" s="48"/>
      <c r="I103" s="4"/>
      <c r="J103" s="4"/>
      <c r="K103" s="4"/>
    </row>
    <row r="104" ht="15.75" customHeight="1">
      <c r="A104" s="4"/>
      <c r="B104" s="4"/>
      <c r="C104" s="4"/>
      <c r="D104" s="48"/>
      <c r="E104" s="48"/>
      <c r="F104" s="48"/>
      <c r="G104" s="48"/>
      <c r="H104" s="48"/>
      <c r="I104" s="4"/>
      <c r="J104" s="4"/>
      <c r="K104" s="4"/>
    </row>
    <row r="105" ht="15.75" customHeight="1">
      <c r="A105" s="4"/>
      <c r="B105" s="4"/>
      <c r="C105" s="4"/>
      <c r="D105" s="48"/>
      <c r="E105" s="48"/>
      <c r="F105" s="48"/>
      <c r="G105" s="48"/>
      <c r="H105" s="48"/>
      <c r="I105" s="4"/>
      <c r="J105" s="4"/>
      <c r="K105" s="4"/>
    </row>
    <row r="106" ht="15.75" customHeight="1">
      <c r="A106" s="4"/>
      <c r="B106" s="4"/>
      <c r="C106" s="4"/>
      <c r="D106" s="48"/>
      <c r="E106" s="48"/>
      <c r="F106" s="48"/>
      <c r="G106" s="48"/>
      <c r="H106" s="48"/>
      <c r="I106" s="4"/>
      <c r="J106" s="4"/>
      <c r="K106" s="4"/>
    </row>
    <row r="107" ht="15.75" customHeight="1">
      <c r="A107" s="4"/>
      <c r="B107" s="4"/>
      <c r="C107" s="4"/>
      <c r="D107" s="48"/>
      <c r="E107" s="48"/>
      <c r="F107" s="48"/>
      <c r="G107" s="48"/>
      <c r="H107" s="48"/>
      <c r="I107" s="4"/>
      <c r="J107" s="4"/>
      <c r="K107" s="4"/>
    </row>
    <row r="108" ht="15.75" customHeight="1">
      <c r="A108" s="4"/>
      <c r="B108" s="4"/>
      <c r="C108" s="4"/>
      <c r="D108" s="48"/>
      <c r="E108" s="48"/>
      <c r="F108" s="48"/>
      <c r="G108" s="48"/>
      <c r="H108" s="48"/>
      <c r="I108" s="4"/>
      <c r="J108" s="4"/>
      <c r="K108" s="4"/>
    </row>
    <row r="109" ht="15.75" customHeight="1">
      <c r="A109" s="4"/>
      <c r="B109" s="4"/>
      <c r="C109" s="4"/>
      <c r="D109" s="48"/>
      <c r="E109" s="48"/>
      <c r="F109" s="48"/>
      <c r="G109" s="48"/>
      <c r="H109" s="48"/>
      <c r="I109" s="4"/>
      <c r="J109" s="4"/>
      <c r="K109" s="4"/>
    </row>
    <row r="110" ht="15.75" customHeight="1">
      <c r="A110" s="4"/>
      <c r="B110" s="4"/>
      <c r="C110" s="4"/>
      <c r="D110" s="48"/>
      <c r="E110" s="48"/>
      <c r="F110" s="48"/>
      <c r="G110" s="48"/>
      <c r="H110" s="48"/>
      <c r="I110" s="4"/>
      <c r="J110" s="4"/>
      <c r="K110" s="4"/>
    </row>
    <row r="111" ht="15.75" customHeight="1">
      <c r="A111" s="4"/>
      <c r="B111" s="4"/>
      <c r="C111" s="4"/>
      <c r="D111" s="48"/>
      <c r="E111" s="48"/>
      <c r="F111" s="48"/>
      <c r="G111" s="48"/>
      <c r="H111" s="48"/>
      <c r="I111" s="4"/>
      <c r="J111" s="4"/>
      <c r="K111" s="4"/>
    </row>
    <row r="112" ht="15.75" customHeight="1">
      <c r="A112" s="4"/>
      <c r="B112" s="4"/>
      <c r="C112" s="4"/>
      <c r="D112" s="48"/>
      <c r="E112" s="48"/>
      <c r="F112" s="48"/>
      <c r="G112" s="48"/>
      <c r="H112" s="48"/>
      <c r="I112" s="4"/>
      <c r="J112" s="4"/>
      <c r="K112" s="4"/>
    </row>
    <row r="113" ht="15.75" customHeight="1">
      <c r="A113" s="4"/>
      <c r="B113" s="4"/>
      <c r="C113" s="4"/>
      <c r="D113" s="48"/>
      <c r="E113" s="48"/>
      <c r="F113" s="48"/>
      <c r="G113" s="48"/>
      <c r="H113" s="48"/>
      <c r="I113" s="4"/>
      <c r="J113" s="4"/>
      <c r="K113" s="4"/>
    </row>
    <row r="114" ht="15.75" customHeight="1">
      <c r="A114" s="4"/>
      <c r="B114" s="4"/>
      <c r="C114" s="4"/>
      <c r="D114" s="48"/>
      <c r="E114" s="48"/>
      <c r="F114" s="48"/>
      <c r="G114" s="48"/>
      <c r="H114" s="48"/>
      <c r="I114" s="4"/>
      <c r="J114" s="4"/>
      <c r="K114" s="4"/>
    </row>
    <row r="115" ht="15.75" customHeight="1">
      <c r="A115" s="4"/>
      <c r="B115" s="4"/>
      <c r="C115" s="4"/>
      <c r="D115" s="48"/>
      <c r="E115" s="48"/>
      <c r="F115" s="48"/>
      <c r="G115" s="48"/>
      <c r="H115" s="48"/>
      <c r="I115" s="4"/>
      <c r="J115" s="4"/>
      <c r="K115" s="4"/>
    </row>
    <row r="116" ht="15.75" customHeight="1">
      <c r="A116" s="4"/>
      <c r="B116" s="4"/>
      <c r="C116" s="4"/>
      <c r="D116" s="48"/>
      <c r="E116" s="48"/>
      <c r="F116" s="48"/>
      <c r="G116" s="48"/>
      <c r="H116" s="48"/>
      <c r="I116" s="4"/>
      <c r="J116" s="4"/>
      <c r="K116" s="4"/>
    </row>
    <row r="117" ht="15.75" customHeight="1">
      <c r="A117" s="4"/>
      <c r="B117" s="4"/>
      <c r="C117" s="4"/>
      <c r="D117" s="48"/>
      <c r="E117" s="48"/>
      <c r="F117" s="48"/>
      <c r="G117" s="48"/>
      <c r="H117" s="48"/>
      <c r="I117" s="4"/>
      <c r="J117" s="4"/>
      <c r="K117" s="4"/>
    </row>
    <row r="118" ht="15.75" customHeight="1">
      <c r="A118" s="4"/>
      <c r="B118" s="4"/>
      <c r="C118" s="4"/>
      <c r="D118" s="48"/>
      <c r="E118" s="48"/>
      <c r="F118" s="48"/>
      <c r="G118" s="48"/>
      <c r="H118" s="48"/>
      <c r="I118" s="4"/>
      <c r="J118" s="4"/>
      <c r="K118" s="4"/>
    </row>
    <row r="119" ht="15.75" customHeight="1">
      <c r="A119" s="4"/>
      <c r="B119" s="4"/>
      <c r="C119" s="4"/>
      <c r="D119" s="48"/>
      <c r="E119" s="48"/>
      <c r="F119" s="48"/>
      <c r="G119" s="48"/>
      <c r="H119" s="48"/>
      <c r="I119" s="4"/>
      <c r="J119" s="4"/>
      <c r="K119" s="4"/>
    </row>
    <row r="120" ht="15.75" customHeight="1">
      <c r="A120" s="4"/>
      <c r="B120" s="4"/>
      <c r="C120" s="4"/>
      <c r="D120" s="48"/>
      <c r="E120" s="48"/>
      <c r="F120" s="48"/>
      <c r="G120" s="48"/>
      <c r="H120" s="48"/>
      <c r="I120" s="4"/>
      <c r="J120" s="4"/>
      <c r="K120" s="4"/>
    </row>
    <row r="121" ht="15.75" customHeight="1">
      <c r="A121" s="4"/>
      <c r="B121" s="4"/>
      <c r="C121" s="4"/>
      <c r="D121" s="48"/>
      <c r="E121" s="48"/>
      <c r="F121" s="48"/>
      <c r="G121" s="48"/>
      <c r="H121" s="48"/>
      <c r="I121" s="4"/>
      <c r="J121" s="4"/>
      <c r="K121" s="4"/>
    </row>
    <row r="122" ht="15.75" customHeight="1">
      <c r="A122" s="4"/>
      <c r="B122" s="4"/>
      <c r="C122" s="4"/>
      <c r="D122" s="48"/>
      <c r="E122" s="48"/>
      <c r="F122" s="48"/>
      <c r="G122" s="48"/>
      <c r="H122" s="48"/>
      <c r="I122" s="4"/>
      <c r="J122" s="4"/>
      <c r="K122" s="4"/>
    </row>
    <row r="123" ht="15.75" customHeight="1">
      <c r="A123" s="4"/>
      <c r="B123" s="4"/>
      <c r="C123" s="4"/>
      <c r="D123" s="48"/>
      <c r="E123" s="48"/>
      <c r="F123" s="48"/>
      <c r="G123" s="48"/>
      <c r="H123" s="48"/>
      <c r="I123" s="4"/>
      <c r="J123" s="4"/>
      <c r="K123" s="4"/>
    </row>
    <row r="124" ht="15.75" customHeight="1">
      <c r="A124" s="4"/>
      <c r="B124" s="4"/>
      <c r="C124" s="4"/>
      <c r="D124" s="48"/>
      <c r="E124" s="48"/>
      <c r="F124" s="48"/>
      <c r="G124" s="48"/>
      <c r="H124" s="48"/>
      <c r="I124" s="4"/>
      <c r="J124" s="4"/>
      <c r="K124" s="4"/>
    </row>
    <row r="125" ht="15.75" customHeight="1">
      <c r="A125" s="4"/>
      <c r="B125" s="4"/>
      <c r="C125" s="4"/>
      <c r="D125" s="48"/>
      <c r="E125" s="48"/>
      <c r="F125" s="48"/>
      <c r="G125" s="48"/>
      <c r="H125" s="48"/>
      <c r="I125" s="4"/>
      <c r="J125" s="4"/>
      <c r="K125" s="4"/>
    </row>
    <row r="126" ht="15.75" customHeight="1">
      <c r="A126" s="4"/>
      <c r="B126" s="4"/>
      <c r="C126" s="4"/>
      <c r="D126" s="48"/>
      <c r="E126" s="48"/>
      <c r="F126" s="48"/>
      <c r="G126" s="48"/>
      <c r="H126" s="48"/>
      <c r="I126" s="4"/>
      <c r="J126" s="4"/>
      <c r="K126" s="4"/>
    </row>
    <row r="127" ht="15.75" customHeight="1">
      <c r="A127" s="4"/>
      <c r="B127" s="4"/>
      <c r="C127" s="4"/>
      <c r="D127" s="48"/>
      <c r="E127" s="48"/>
      <c r="F127" s="48"/>
      <c r="G127" s="48"/>
      <c r="H127" s="48"/>
      <c r="I127" s="4"/>
      <c r="J127" s="4"/>
      <c r="K127" s="4"/>
    </row>
    <row r="128" ht="15.75" customHeight="1">
      <c r="A128" s="4"/>
      <c r="B128" s="4"/>
      <c r="C128" s="4"/>
      <c r="D128" s="48"/>
      <c r="E128" s="48"/>
      <c r="F128" s="48"/>
      <c r="G128" s="48"/>
      <c r="H128" s="48"/>
      <c r="I128" s="4"/>
      <c r="J128" s="4"/>
      <c r="K128" s="4"/>
    </row>
    <row r="129" ht="15.75" customHeight="1">
      <c r="A129" s="4"/>
      <c r="B129" s="4"/>
      <c r="C129" s="4"/>
      <c r="D129" s="48"/>
      <c r="E129" s="48"/>
      <c r="F129" s="48"/>
      <c r="G129" s="48"/>
      <c r="H129" s="48"/>
      <c r="I129" s="4"/>
      <c r="J129" s="4"/>
      <c r="K129" s="4"/>
    </row>
    <row r="130" ht="15.75" customHeight="1">
      <c r="A130" s="4"/>
      <c r="B130" s="4"/>
      <c r="C130" s="4"/>
      <c r="D130" s="48"/>
      <c r="E130" s="48"/>
      <c r="F130" s="48"/>
      <c r="G130" s="48"/>
      <c r="H130" s="48"/>
      <c r="I130" s="4"/>
      <c r="J130" s="4"/>
      <c r="K130" s="4"/>
    </row>
    <row r="131" ht="15.75" customHeight="1">
      <c r="A131" s="4"/>
      <c r="B131" s="4"/>
      <c r="C131" s="4"/>
      <c r="D131" s="48"/>
      <c r="E131" s="48"/>
      <c r="F131" s="48"/>
      <c r="G131" s="48"/>
      <c r="H131" s="48"/>
      <c r="I131" s="4"/>
      <c r="J131" s="4"/>
      <c r="K131" s="4"/>
    </row>
    <row r="132" ht="15.75" customHeight="1">
      <c r="A132" s="4"/>
      <c r="B132" s="4"/>
      <c r="C132" s="4"/>
      <c r="D132" s="48"/>
      <c r="E132" s="48"/>
      <c r="F132" s="48"/>
      <c r="G132" s="48"/>
      <c r="H132" s="48"/>
      <c r="I132" s="4"/>
      <c r="J132" s="4"/>
      <c r="K132" s="4"/>
    </row>
    <row r="133" ht="15.75" customHeight="1">
      <c r="A133" s="4"/>
      <c r="B133" s="4"/>
      <c r="C133" s="4"/>
      <c r="D133" s="48"/>
      <c r="E133" s="48"/>
      <c r="F133" s="48"/>
      <c r="G133" s="48"/>
      <c r="H133" s="48"/>
      <c r="I133" s="4"/>
      <c r="J133" s="4"/>
      <c r="K133" s="4"/>
    </row>
    <row r="134" ht="15.75" customHeight="1">
      <c r="A134" s="4"/>
      <c r="B134" s="4"/>
      <c r="C134" s="4"/>
      <c r="D134" s="48"/>
      <c r="E134" s="48"/>
      <c r="F134" s="48"/>
      <c r="G134" s="48"/>
      <c r="H134" s="48"/>
      <c r="I134" s="4"/>
      <c r="J134" s="4"/>
      <c r="K134" s="4"/>
    </row>
    <row r="135" ht="15.75" customHeight="1">
      <c r="A135" s="4"/>
      <c r="B135" s="4"/>
      <c r="C135" s="4"/>
      <c r="D135" s="48"/>
      <c r="E135" s="48"/>
      <c r="F135" s="48"/>
      <c r="G135" s="48"/>
      <c r="H135" s="48"/>
      <c r="I135" s="4"/>
      <c r="J135" s="4"/>
      <c r="K135" s="4"/>
    </row>
    <row r="136" ht="15.75" customHeight="1">
      <c r="A136" s="4"/>
      <c r="B136" s="4"/>
      <c r="C136" s="4"/>
      <c r="D136" s="48"/>
      <c r="E136" s="48"/>
      <c r="F136" s="48"/>
      <c r="G136" s="48"/>
      <c r="H136" s="48"/>
      <c r="I136" s="4"/>
      <c r="J136" s="4"/>
      <c r="K136" s="4"/>
    </row>
    <row r="137" ht="15.75" customHeight="1">
      <c r="A137" s="4"/>
      <c r="B137" s="4"/>
      <c r="C137" s="4"/>
      <c r="D137" s="48"/>
      <c r="E137" s="48"/>
      <c r="F137" s="48"/>
      <c r="G137" s="48"/>
      <c r="H137" s="48"/>
      <c r="I137" s="4"/>
      <c r="J137" s="4"/>
      <c r="K137" s="4"/>
    </row>
    <row r="138" ht="15.75" customHeight="1">
      <c r="A138" s="4"/>
      <c r="B138" s="4"/>
      <c r="C138" s="4"/>
      <c r="D138" s="48"/>
      <c r="E138" s="48"/>
      <c r="F138" s="48"/>
      <c r="G138" s="48"/>
      <c r="H138" s="48"/>
      <c r="I138" s="4"/>
      <c r="J138" s="4"/>
      <c r="K138" s="4"/>
    </row>
    <row r="139" ht="15.75" customHeight="1">
      <c r="A139" s="4"/>
      <c r="B139" s="4"/>
      <c r="C139" s="4"/>
      <c r="D139" s="48"/>
      <c r="E139" s="48"/>
      <c r="F139" s="48"/>
      <c r="G139" s="48"/>
      <c r="H139" s="48"/>
      <c r="I139" s="4"/>
      <c r="J139" s="4"/>
      <c r="K139" s="4"/>
    </row>
    <row r="140" ht="15.75" customHeight="1">
      <c r="A140" s="4"/>
      <c r="B140" s="4"/>
      <c r="C140" s="4"/>
      <c r="D140" s="48"/>
      <c r="E140" s="48"/>
      <c r="F140" s="48"/>
      <c r="G140" s="48"/>
      <c r="H140" s="48"/>
      <c r="I140" s="4"/>
      <c r="J140" s="4"/>
      <c r="K140" s="4"/>
    </row>
    <row r="141" ht="15.75" customHeight="1">
      <c r="A141" s="4"/>
      <c r="B141" s="4"/>
      <c r="C141" s="4"/>
      <c r="D141" s="48"/>
      <c r="E141" s="48"/>
      <c r="F141" s="48"/>
      <c r="G141" s="48"/>
      <c r="H141" s="48"/>
      <c r="I141" s="4"/>
      <c r="J141" s="4"/>
      <c r="K141" s="4"/>
    </row>
    <row r="142" ht="15.75" customHeight="1">
      <c r="A142" s="4"/>
      <c r="B142" s="4"/>
      <c r="C142" s="4"/>
      <c r="D142" s="48"/>
      <c r="E142" s="48"/>
      <c r="F142" s="48"/>
      <c r="G142" s="48"/>
      <c r="H142" s="48"/>
      <c r="I142" s="4"/>
      <c r="J142" s="4"/>
      <c r="K142" s="4"/>
    </row>
    <row r="143" ht="15.75" customHeight="1">
      <c r="A143" s="4"/>
      <c r="B143" s="4"/>
      <c r="C143" s="4"/>
      <c r="D143" s="48"/>
      <c r="E143" s="48"/>
      <c r="F143" s="48"/>
      <c r="G143" s="48"/>
      <c r="H143" s="48"/>
      <c r="I143" s="4"/>
      <c r="J143" s="4"/>
      <c r="K143" s="4"/>
    </row>
    <row r="144" ht="15.75" customHeight="1">
      <c r="A144" s="4"/>
      <c r="B144" s="4"/>
      <c r="C144" s="4"/>
      <c r="D144" s="48"/>
      <c r="E144" s="48"/>
      <c r="F144" s="48"/>
      <c r="G144" s="48"/>
      <c r="H144" s="48"/>
      <c r="I144" s="4"/>
      <c r="J144" s="4"/>
      <c r="K144" s="4"/>
    </row>
    <row r="145" ht="15.75" customHeight="1">
      <c r="A145" s="4"/>
      <c r="B145" s="4"/>
      <c r="C145" s="4"/>
      <c r="D145" s="48"/>
      <c r="E145" s="48"/>
      <c r="F145" s="48"/>
      <c r="G145" s="48"/>
      <c r="H145" s="48"/>
      <c r="I145" s="4"/>
      <c r="J145" s="4"/>
      <c r="K145" s="4"/>
    </row>
    <row r="146" ht="15.75" customHeight="1">
      <c r="A146" s="4"/>
      <c r="B146" s="4"/>
      <c r="C146" s="4"/>
      <c r="D146" s="48"/>
      <c r="E146" s="48"/>
      <c r="F146" s="48"/>
      <c r="G146" s="48"/>
      <c r="H146" s="48"/>
      <c r="I146" s="4"/>
      <c r="J146" s="4"/>
      <c r="K146" s="4"/>
    </row>
    <row r="147" ht="15.75" customHeight="1">
      <c r="A147" s="4"/>
      <c r="B147" s="4"/>
      <c r="C147" s="4"/>
      <c r="D147" s="48"/>
      <c r="E147" s="48"/>
      <c r="F147" s="48"/>
      <c r="G147" s="48"/>
      <c r="H147" s="48"/>
      <c r="I147" s="4"/>
      <c r="J147" s="4"/>
      <c r="K147" s="4"/>
    </row>
    <row r="148" ht="15.75" customHeight="1">
      <c r="A148" s="4"/>
      <c r="B148" s="4"/>
      <c r="C148" s="4"/>
      <c r="D148" s="48"/>
      <c r="E148" s="48"/>
      <c r="F148" s="48"/>
      <c r="G148" s="48"/>
      <c r="H148" s="48"/>
      <c r="I148" s="4"/>
      <c r="J148" s="4"/>
      <c r="K148" s="4"/>
    </row>
    <row r="149" ht="15.75" customHeight="1">
      <c r="A149" s="4"/>
      <c r="B149" s="4"/>
      <c r="C149" s="4"/>
      <c r="D149" s="48"/>
      <c r="E149" s="48"/>
      <c r="F149" s="48"/>
      <c r="G149" s="48"/>
      <c r="H149" s="48"/>
      <c r="I149" s="4"/>
      <c r="J149" s="4"/>
      <c r="K149" s="4"/>
    </row>
    <row r="150" ht="15.75" customHeight="1">
      <c r="A150" s="4"/>
      <c r="B150" s="4"/>
      <c r="C150" s="4"/>
      <c r="D150" s="48"/>
      <c r="E150" s="48"/>
      <c r="F150" s="48"/>
      <c r="G150" s="48"/>
      <c r="H150" s="48"/>
      <c r="I150" s="4"/>
      <c r="J150" s="4"/>
      <c r="K150" s="4"/>
    </row>
    <row r="151" ht="15.75" customHeight="1">
      <c r="A151" s="4"/>
      <c r="B151" s="4"/>
      <c r="C151" s="4"/>
      <c r="D151" s="48"/>
      <c r="E151" s="48"/>
      <c r="F151" s="48"/>
      <c r="G151" s="48"/>
      <c r="H151" s="48"/>
      <c r="I151" s="4"/>
      <c r="J151" s="4"/>
      <c r="K151" s="4"/>
    </row>
    <row r="152" ht="15.75" customHeight="1">
      <c r="A152" s="4"/>
      <c r="B152" s="4"/>
      <c r="C152" s="4"/>
      <c r="D152" s="48"/>
      <c r="E152" s="48"/>
      <c r="F152" s="48"/>
      <c r="G152" s="48"/>
      <c r="H152" s="48"/>
      <c r="I152" s="4"/>
      <c r="J152" s="4"/>
      <c r="K152" s="4"/>
    </row>
    <row r="153" ht="15.75" customHeight="1">
      <c r="A153" s="4"/>
      <c r="B153" s="4"/>
      <c r="C153" s="4"/>
      <c r="D153" s="48"/>
      <c r="E153" s="48"/>
      <c r="F153" s="48"/>
      <c r="G153" s="48"/>
      <c r="H153" s="48"/>
      <c r="I153" s="4"/>
      <c r="J153" s="4"/>
      <c r="K153" s="4"/>
    </row>
    <row r="154" ht="15.75" customHeight="1">
      <c r="A154" s="4"/>
      <c r="B154" s="4"/>
      <c r="C154" s="4"/>
      <c r="D154" s="48"/>
      <c r="E154" s="48"/>
      <c r="F154" s="48"/>
      <c r="G154" s="48"/>
      <c r="H154" s="48"/>
      <c r="I154" s="4"/>
      <c r="J154" s="4"/>
      <c r="K154" s="4"/>
    </row>
    <row r="155" ht="15.75" customHeight="1">
      <c r="A155" s="4"/>
      <c r="B155" s="4"/>
      <c r="C155" s="4"/>
      <c r="D155" s="48"/>
      <c r="E155" s="48"/>
      <c r="F155" s="48"/>
      <c r="G155" s="48"/>
      <c r="H155" s="48"/>
      <c r="I155" s="4"/>
      <c r="J155" s="4"/>
      <c r="K155" s="4"/>
    </row>
    <row r="156" ht="15.75" customHeight="1">
      <c r="A156" s="4"/>
      <c r="B156" s="4"/>
      <c r="C156" s="4"/>
      <c r="D156" s="48"/>
      <c r="E156" s="48"/>
      <c r="F156" s="48"/>
      <c r="G156" s="48"/>
      <c r="H156" s="48"/>
      <c r="I156" s="4"/>
      <c r="J156" s="4"/>
      <c r="K156" s="4"/>
    </row>
    <row r="157" ht="15.75" customHeight="1">
      <c r="A157" s="4"/>
      <c r="B157" s="4"/>
      <c r="C157" s="4"/>
      <c r="D157" s="48"/>
      <c r="E157" s="48"/>
      <c r="F157" s="48"/>
      <c r="G157" s="48"/>
      <c r="H157" s="48"/>
      <c r="I157" s="4"/>
      <c r="J157" s="4"/>
      <c r="K157" s="4"/>
    </row>
    <row r="158" ht="15.75" customHeight="1">
      <c r="A158" s="4"/>
      <c r="B158" s="4"/>
      <c r="C158" s="4"/>
      <c r="D158" s="48"/>
      <c r="E158" s="48"/>
      <c r="F158" s="48"/>
      <c r="G158" s="48"/>
      <c r="H158" s="48"/>
      <c r="I158" s="4"/>
      <c r="J158" s="4"/>
      <c r="K158" s="4"/>
    </row>
    <row r="159" ht="15.75" customHeight="1">
      <c r="A159" s="4"/>
      <c r="B159" s="4"/>
      <c r="C159" s="4"/>
      <c r="D159" s="48"/>
      <c r="E159" s="48"/>
      <c r="F159" s="48"/>
      <c r="G159" s="48"/>
      <c r="H159" s="48"/>
      <c r="I159" s="4"/>
      <c r="J159" s="4"/>
      <c r="K159" s="4"/>
    </row>
    <row r="160" ht="15.75" customHeight="1">
      <c r="A160" s="4"/>
      <c r="B160" s="4"/>
      <c r="C160" s="4"/>
      <c r="D160" s="48"/>
      <c r="E160" s="48"/>
      <c r="F160" s="48"/>
      <c r="G160" s="48"/>
      <c r="H160" s="48"/>
      <c r="I160" s="4"/>
      <c r="J160" s="4"/>
      <c r="K160" s="4"/>
    </row>
    <row r="161" ht="15.75" customHeight="1">
      <c r="A161" s="4"/>
      <c r="B161" s="4"/>
      <c r="C161" s="4"/>
      <c r="D161" s="48"/>
      <c r="E161" s="48"/>
      <c r="F161" s="48"/>
      <c r="G161" s="48"/>
      <c r="H161" s="48"/>
      <c r="I161" s="4"/>
      <c r="J161" s="4"/>
      <c r="K161" s="4"/>
    </row>
    <row r="162" ht="15.75" customHeight="1">
      <c r="A162" s="4"/>
      <c r="B162" s="4"/>
      <c r="C162" s="4"/>
      <c r="D162" s="48"/>
      <c r="E162" s="48"/>
      <c r="F162" s="48"/>
      <c r="G162" s="48"/>
      <c r="H162" s="48"/>
      <c r="I162" s="4"/>
      <c r="J162" s="4"/>
      <c r="K162" s="4"/>
    </row>
    <row r="163" ht="15.75" customHeight="1">
      <c r="A163" s="4"/>
      <c r="B163" s="4"/>
      <c r="C163" s="4"/>
      <c r="D163" s="48"/>
      <c r="E163" s="48"/>
      <c r="F163" s="48"/>
      <c r="G163" s="48"/>
      <c r="H163" s="48"/>
      <c r="I163" s="4"/>
      <c r="J163" s="4"/>
      <c r="K163" s="4"/>
    </row>
    <row r="164" ht="15.75" customHeight="1">
      <c r="A164" s="4"/>
      <c r="B164" s="4"/>
      <c r="C164" s="4"/>
      <c r="D164" s="48"/>
      <c r="E164" s="48"/>
      <c r="F164" s="48"/>
      <c r="G164" s="48"/>
      <c r="H164" s="48"/>
      <c r="I164" s="4"/>
      <c r="J164" s="4"/>
      <c r="K164" s="4"/>
    </row>
    <row r="165" ht="15.75" customHeight="1">
      <c r="A165" s="4"/>
      <c r="B165" s="4"/>
      <c r="C165" s="4"/>
      <c r="D165" s="48"/>
      <c r="E165" s="48"/>
      <c r="F165" s="48"/>
      <c r="G165" s="48"/>
      <c r="H165" s="48"/>
      <c r="I165" s="4"/>
      <c r="J165" s="4"/>
      <c r="K165" s="4"/>
    </row>
    <row r="166" ht="15.75" customHeight="1">
      <c r="A166" s="4"/>
      <c r="B166" s="4"/>
      <c r="C166" s="4"/>
      <c r="D166" s="48"/>
      <c r="E166" s="48"/>
      <c r="F166" s="48"/>
      <c r="G166" s="48"/>
      <c r="H166" s="48"/>
      <c r="I166" s="4"/>
      <c r="J166" s="4"/>
      <c r="K166" s="4"/>
    </row>
    <row r="167" ht="15.75" customHeight="1">
      <c r="A167" s="4"/>
      <c r="B167" s="4"/>
      <c r="C167" s="4"/>
      <c r="D167" s="48"/>
      <c r="E167" s="48"/>
      <c r="F167" s="48"/>
      <c r="G167" s="48"/>
      <c r="H167" s="48"/>
      <c r="I167" s="4"/>
      <c r="J167" s="4"/>
      <c r="K167" s="4"/>
    </row>
    <row r="168" ht="15.75" customHeight="1">
      <c r="A168" s="4"/>
      <c r="B168" s="4"/>
      <c r="C168" s="4"/>
      <c r="D168" s="48"/>
      <c r="E168" s="48"/>
      <c r="F168" s="48"/>
      <c r="G168" s="48"/>
      <c r="H168" s="48"/>
      <c r="I168" s="4"/>
      <c r="J168" s="4"/>
      <c r="K168" s="4"/>
    </row>
    <row r="169" ht="15.75" customHeight="1">
      <c r="A169" s="4"/>
      <c r="B169" s="4"/>
      <c r="C169" s="4"/>
      <c r="D169" s="48"/>
      <c r="E169" s="48"/>
      <c r="F169" s="48"/>
      <c r="G169" s="48"/>
      <c r="H169" s="48"/>
      <c r="I169" s="4"/>
      <c r="J169" s="4"/>
      <c r="K169" s="4"/>
    </row>
    <row r="170" ht="15.75" customHeight="1">
      <c r="A170" s="4"/>
      <c r="B170" s="4"/>
      <c r="C170" s="4"/>
      <c r="D170" s="48"/>
      <c r="E170" s="48"/>
      <c r="F170" s="48"/>
      <c r="G170" s="48"/>
      <c r="H170" s="48"/>
      <c r="I170" s="4"/>
      <c r="J170" s="4"/>
      <c r="K170" s="4"/>
    </row>
    <row r="171" ht="15.75" customHeight="1">
      <c r="A171" s="4"/>
      <c r="B171" s="4"/>
      <c r="C171" s="4"/>
      <c r="D171" s="48"/>
      <c r="E171" s="48"/>
      <c r="F171" s="48"/>
      <c r="G171" s="48"/>
      <c r="H171" s="48"/>
      <c r="I171" s="4"/>
      <c r="J171" s="4"/>
      <c r="K171" s="4"/>
    </row>
    <row r="172" ht="15.75" customHeight="1">
      <c r="A172" s="4"/>
      <c r="B172" s="4"/>
      <c r="C172" s="4"/>
      <c r="D172" s="48"/>
      <c r="E172" s="48"/>
      <c r="F172" s="48"/>
      <c r="G172" s="48"/>
      <c r="H172" s="48"/>
      <c r="I172" s="4"/>
      <c r="J172" s="4"/>
      <c r="K172" s="4"/>
    </row>
    <row r="173" ht="15.75" customHeight="1">
      <c r="A173" s="4"/>
      <c r="B173" s="4"/>
      <c r="C173" s="4"/>
      <c r="D173" s="48"/>
      <c r="E173" s="48"/>
      <c r="F173" s="48"/>
      <c r="G173" s="48"/>
      <c r="H173" s="48"/>
      <c r="I173" s="4"/>
      <c r="J173" s="4"/>
      <c r="K173" s="4"/>
    </row>
    <row r="174" ht="15.75" customHeight="1">
      <c r="A174" s="4"/>
      <c r="B174" s="4"/>
      <c r="C174" s="4"/>
      <c r="D174" s="48"/>
      <c r="E174" s="48"/>
      <c r="F174" s="48"/>
      <c r="G174" s="48"/>
      <c r="H174" s="48"/>
      <c r="I174" s="4"/>
      <c r="J174" s="4"/>
      <c r="K174" s="4"/>
    </row>
    <row r="175" ht="15.75" customHeight="1">
      <c r="A175" s="4"/>
      <c r="B175" s="4"/>
      <c r="C175" s="4"/>
      <c r="D175" s="48"/>
      <c r="E175" s="48"/>
      <c r="F175" s="48"/>
      <c r="G175" s="48"/>
      <c r="H175" s="48"/>
      <c r="I175" s="4"/>
      <c r="J175" s="4"/>
      <c r="K175" s="4"/>
    </row>
    <row r="176" ht="15.75" customHeight="1">
      <c r="A176" s="4"/>
      <c r="B176" s="4"/>
      <c r="C176" s="4"/>
      <c r="D176" s="48"/>
      <c r="E176" s="48"/>
      <c r="F176" s="48"/>
      <c r="G176" s="48"/>
      <c r="H176" s="48"/>
      <c r="I176" s="4"/>
      <c r="J176" s="4"/>
      <c r="K176" s="4"/>
    </row>
    <row r="177" ht="15.75" customHeight="1">
      <c r="A177" s="4"/>
      <c r="B177" s="4"/>
      <c r="C177" s="4"/>
      <c r="D177" s="48"/>
      <c r="E177" s="48"/>
      <c r="F177" s="48"/>
      <c r="G177" s="48"/>
      <c r="H177" s="48"/>
      <c r="I177" s="4"/>
      <c r="J177" s="4"/>
      <c r="K177" s="4"/>
    </row>
    <row r="178" ht="15.75" customHeight="1">
      <c r="A178" s="4"/>
      <c r="B178" s="4"/>
      <c r="C178" s="4"/>
      <c r="D178" s="48"/>
      <c r="E178" s="48"/>
      <c r="F178" s="48"/>
      <c r="G178" s="48"/>
      <c r="H178" s="48"/>
      <c r="I178" s="4"/>
      <c r="J178" s="4"/>
      <c r="K178" s="4"/>
    </row>
    <row r="179" ht="15.75" customHeight="1">
      <c r="A179" s="4"/>
      <c r="B179" s="4"/>
      <c r="C179" s="4"/>
      <c r="D179" s="48"/>
      <c r="E179" s="48"/>
      <c r="F179" s="48"/>
      <c r="G179" s="48"/>
      <c r="H179" s="48"/>
      <c r="I179" s="4"/>
      <c r="J179" s="4"/>
      <c r="K179" s="4"/>
    </row>
    <row r="180" ht="15.75" customHeight="1">
      <c r="A180" s="4"/>
      <c r="B180" s="4"/>
      <c r="C180" s="4"/>
      <c r="D180" s="48"/>
      <c r="E180" s="48"/>
      <c r="F180" s="48"/>
      <c r="G180" s="48"/>
      <c r="H180" s="48"/>
      <c r="I180" s="4"/>
      <c r="J180" s="4"/>
      <c r="K180" s="4"/>
    </row>
    <row r="181" ht="15.75" customHeight="1">
      <c r="A181" s="4"/>
      <c r="B181" s="4"/>
      <c r="C181" s="4"/>
      <c r="D181" s="48"/>
      <c r="E181" s="48"/>
      <c r="F181" s="48"/>
      <c r="G181" s="48"/>
      <c r="H181" s="48"/>
      <c r="I181" s="4"/>
      <c r="J181" s="4"/>
      <c r="K181" s="4"/>
    </row>
    <row r="182" ht="15.75" customHeight="1">
      <c r="A182" s="4"/>
      <c r="B182" s="4"/>
      <c r="C182" s="4"/>
      <c r="D182" s="48"/>
      <c r="E182" s="48"/>
      <c r="F182" s="48"/>
      <c r="G182" s="48"/>
      <c r="H182" s="48"/>
      <c r="I182" s="4"/>
      <c r="J182" s="4"/>
      <c r="K182" s="4"/>
    </row>
    <row r="183" ht="15.75" customHeight="1">
      <c r="A183" s="4"/>
      <c r="B183" s="4"/>
      <c r="C183" s="4"/>
      <c r="D183" s="48"/>
      <c r="E183" s="48"/>
      <c r="F183" s="48"/>
      <c r="G183" s="48"/>
      <c r="H183" s="48"/>
      <c r="I183" s="4"/>
      <c r="J183" s="4"/>
      <c r="K183" s="4"/>
    </row>
    <row r="184" ht="15.75" customHeight="1">
      <c r="A184" s="4"/>
      <c r="B184" s="4"/>
      <c r="C184" s="4"/>
      <c r="D184" s="48"/>
      <c r="E184" s="48"/>
      <c r="F184" s="48"/>
      <c r="G184" s="48"/>
      <c r="H184" s="48"/>
      <c r="I184" s="4"/>
      <c r="J184" s="4"/>
      <c r="K184" s="4"/>
    </row>
    <row r="185" ht="15.75" customHeight="1">
      <c r="A185" s="4"/>
      <c r="B185" s="4"/>
      <c r="C185" s="4"/>
      <c r="D185" s="48"/>
      <c r="E185" s="48"/>
      <c r="F185" s="48"/>
      <c r="G185" s="48"/>
      <c r="H185" s="48"/>
      <c r="I185" s="4"/>
      <c r="J185" s="4"/>
      <c r="K185" s="4"/>
    </row>
    <row r="186" ht="15.75" customHeight="1">
      <c r="A186" s="4"/>
      <c r="B186" s="4"/>
      <c r="C186" s="4"/>
      <c r="D186" s="48"/>
      <c r="E186" s="48"/>
      <c r="F186" s="48"/>
      <c r="G186" s="48"/>
      <c r="H186" s="48"/>
      <c r="I186" s="4"/>
      <c r="J186" s="4"/>
      <c r="K186" s="4"/>
    </row>
    <row r="187" ht="15.75" customHeight="1">
      <c r="A187" s="4"/>
      <c r="B187" s="4"/>
      <c r="C187" s="4"/>
      <c r="D187" s="48"/>
      <c r="E187" s="48"/>
      <c r="F187" s="48"/>
      <c r="G187" s="48"/>
      <c r="H187" s="48"/>
      <c r="I187" s="4"/>
      <c r="J187" s="4"/>
      <c r="K187" s="4"/>
    </row>
    <row r="188" ht="15.75" customHeight="1">
      <c r="A188" s="4"/>
      <c r="B188" s="4"/>
      <c r="C188" s="4"/>
      <c r="D188" s="48"/>
      <c r="E188" s="48"/>
      <c r="F188" s="48"/>
      <c r="G188" s="48"/>
      <c r="H188" s="48"/>
      <c r="I188" s="4"/>
      <c r="J188" s="4"/>
      <c r="K188" s="4"/>
    </row>
    <row r="189" ht="15.75" customHeight="1">
      <c r="A189" s="4"/>
      <c r="B189" s="4"/>
      <c r="C189" s="4"/>
      <c r="D189" s="48"/>
      <c r="E189" s="48"/>
      <c r="F189" s="48"/>
      <c r="G189" s="48"/>
      <c r="H189" s="48"/>
      <c r="I189" s="4"/>
      <c r="J189" s="4"/>
      <c r="K189" s="4"/>
    </row>
    <row r="190" ht="15.75" customHeight="1">
      <c r="A190" s="4"/>
      <c r="B190" s="4"/>
      <c r="C190" s="4"/>
      <c r="D190" s="48"/>
      <c r="E190" s="48"/>
      <c r="F190" s="48"/>
      <c r="G190" s="48"/>
      <c r="H190" s="48"/>
      <c r="I190" s="4"/>
      <c r="J190" s="4"/>
      <c r="K190" s="4"/>
    </row>
    <row r="191" ht="15.75" customHeight="1">
      <c r="A191" s="4"/>
      <c r="B191" s="4"/>
      <c r="C191" s="4"/>
      <c r="D191" s="48"/>
      <c r="E191" s="48"/>
      <c r="F191" s="48"/>
      <c r="G191" s="48"/>
      <c r="H191" s="48"/>
      <c r="I191" s="4"/>
      <c r="J191" s="4"/>
      <c r="K191" s="4"/>
    </row>
    <row r="192" ht="15.75" customHeight="1">
      <c r="A192" s="4"/>
      <c r="B192" s="4"/>
      <c r="C192" s="4"/>
      <c r="D192" s="48"/>
      <c r="E192" s="48"/>
      <c r="F192" s="48"/>
      <c r="G192" s="48"/>
      <c r="H192" s="48"/>
      <c r="I192" s="4"/>
      <c r="J192" s="4"/>
      <c r="K192" s="4"/>
    </row>
    <row r="193" ht="15.75" customHeight="1">
      <c r="A193" s="4"/>
      <c r="B193" s="4"/>
      <c r="C193" s="4"/>
      <c r="D193" s="48"/>
      <c r="E193" s="48"/>
      <c r="F193" s="48"/>
      <c r="G193" s="48"/>
      <c r="H193" s="48"/>
      <c r="I193" s="4"/>
      <c r="J193" s="4"/>
      <c r="K193" s="4"/>
    </row>
    <row r="194" ht="15.75" customHeight="1">
      <c r="A194" s="4"/>
      <c r="B194" s="4"/>
      <c r="C194" s="4"/>
      <c r="D194" s="48"/>
      <c r="E194" s="48"/>
      <c r="F194" s="48"/>
      <c r="G194" s="48"/>
      <c r="H194" s="48"/>
      <c r="I194" s="4"/>
      <c r="J194" s="4"/>
      <c r="K194" s="4"/>
    </row>
    <row r="195" ht="15.75" customHeight="1">
      <c r="A195" s="4"/>
      <c r="B195" s="4"/>
      <c r="C195" s="4"/>
      <c r="D195" s="48"/>
      <c r="E195" s="48"/>
      <c r="F195" s="48"/>
      <c r="G195" s="48"/>
      <c r="H195" s="48"/>
      <c r="I195" s="4"/>
      <c r="J195" s="4"/>
      <c r="K195" s="4"/>
    </row>
    <row r="196" ht="15.75" customHeight="1">
      <c r="A196" s="4"/>
      <c r="B196" s="4"/>
      <c r="C196" s="4"/>
      <c r="D196" s="48"/>
      <c r="E196" s="48"/>
      <c r="F196" s="48"/>
      <c r="G196" s="48"/>
      <c r="H196" s="48"/>
      <c r="I196" s="4"/>
      <c r="J196" s="4"/>
      <c r="K196" s="4"/>
    </row>
    <row r="197" ht="15.75" customHeight="1">
      <c r="A197" s="4"/>
      <c r="B197" s="4"/>
      <c r="C197" s="4"/>
      <c r="D197" s="48"/>
      <c r="E197" s="48"/>
      <c r="F197" s="48"/>
      <c r="G197" s="48"/>
      <c r="H197" s="48"/>
      <c r="I197" s="4"/>
      <c r="J197" s="4"/>
      <c r="K197" s="4"/>
    </row>
    <row r="198" ht="15.75" customHeight="1">
      <c r="A198" s="4"/>
      <c r="B198" s="4"/>
      <c r="C198" s="4"/>
      <c r="D198" s="48"/>
      <c r="E198" s="48"/>
      <c r="F198" s="48"/>
      <c r="G198" s="48"/>
      <c r="H198" s="48"/>
      <c r="I198" s="4"/>
      <c r="J198" s="4"/>
      <c r="K198" s="4"/>
    </row>
    <row r="199" ht="15.75" customHeight="1">
      <c r="A199" s="4"/>
      <c r="B199" s="4"/>
      <c r="C199" s="4"/>
      <c r="D199" s="48"/>
      <c r="E199" s="48"/>
      <c r="F199" s="48"/>
      <c r="G199" s="48"/>
      <c r="H199" s="48"/>
      <c r="I199" s="4"/>
      <c r="J199" s="4"/>
      <c r="K199" s="4"/>
    </row>
    <row r="200" ht="15.75" customHeight="1">
      <c r="A200" s="4"/>
      <c r="B200" s="4"/>
      <c r="C200" s="4"/>
      <c r="D200" s="48"/>
      <c r="E200" s="48"/>
      <c r="F200" s="48"/>
      <c r="G200" s="48"/>
      <c r="H200" s="48"/>
      <c r="I200" s="4"/>
      <c r="J200" s="4"/>
      <c r="K200" s="4"/>
    </row>
    <row r="201" ht="15.75" customHeight="1">
      <c r="A201" s="4"/>
      <c r="B201" s="4"/>
      <c r="C201" s="4"/>
      <c r="D201" s="48"/>
      <c r="E201" s="48"/>
      <c r="F201" s="48"/>
      <c r="G201" s="48"/>
      <c r="H201" s="48"/>
      <c r="I201" s="4"/>
      <c r="J201" s="4"/>
      <c r="K201" s="4"/>
    </row>
    <row r="202" ht="15.75" customHeight="1">
      <c r="A202" s="4"/>
      <c r="B202" s="4"/>
      <c r="C202" s="4"/>
      <c r="D202" s="48"/>
      <c r="E202" s="48"/>
      <c r="F202" s="48"/>
      <c r="G202" s="48"/>
      <c r="H202" s="48"/>
      <c r="I202" s="4"/>
      <c r="J202" s="4"/>
      <c r="K202" s="4"/>
    </row>
    <row r="203" ht="15.75" customHeight="1">
      <c r="A203" s="4"/>
      <c r="B203" s="4"/>
      <c r="C203" s="4"/>
      <c r="D203" s="48"/>
      <c r="E203" s="48"/>
      <c r="F203" s="48"/>
      <c r="G203" s="48"/>
      <c r="H203" s="48"/>
      <c r="I203" s="4"/>
      <c r="J203" s="4"/>
      <c r="K203" s="4"/>
    </row>
    <row r="204" ht="15.75" customHeight="1">
      <c r="A204" s="4"/>
      <c r="B204" s="4"/>
      <c r="C204" s="4"/>
      <c r="D204" s="48"/>
      <c r="E204" s="48"/>
      <c r="F204" s="48"/>
      <c r="G204" s="48"/>
      <c r="H204" s="48"/>
      <c r="I204" s="4"/>
      <c r="J204" s="4"/>
      <c r="K204" s="4"/>
    </row>
    <row r="205" ht="15.75" customHeight="1">
      <c r="A205" s="4"/>
      <c r="B205" s="4"/>
      <c r="C205" s="4"/>
      <c r="D205" s="48"/>
      <c r="E205" s="48"/>
      <c r="F205" s="48"/>
      <c r="G205" s="48"/>
      <c r="H205" s="48"/>
      <c r="I205" s="4"/>
      <c r="J205" s="4"/>
      <c r="K205" s="4"/>
    </row>
    <row r="206" ht="15.75" customHeight="1">
      <c r="A206" s="4"/>
      <c r="B206" s="4"/>
      <c r="C206" s="4"/>
      <c r="D206" s="48"/>
      <c r="E206" s="48"/>
      <c r="F206" s="48"/>
      <c r="G206" s="48"/>
      <c r="H206" s="48"/>
      <c r="I206" s="4"/>
      <c r="J206" s="4"/>
      <c r="K206" s="4"/>
    </row>
    <row r="207" ht="15.75" customHeight="1">
      <c r="A207" s="4"/>
      <c r="B207" s="4"/>
      <c r="C207" s="4"/>
      <c r="D207" s="48"/>
      <c r="E207" s="48"/>
      <c r="F207" s="48"/>
      <c r="G207" s="48"/>
      <c r="H207" s="48"/>
      <c r="I207" s="4"/>
      <c r="J207" s="4"/>
      <c r="K207" s="4"/>
    </row>
    <row r="208" ht="15.75" customHeight="1">
      <c r="A208" s="4"/>
      <c r="B208" s="4"/>
      <c r="C208" s="4"/>
      <c r="D208" s="48"/>
      <c r="E208" s="48"/>
      <c r="F208" s="48"/>
      <c r="G208" s="48"/>
      <c r="H208" s="48"/>
      <c r="I208" s="4"/>
      <c r="J208" s="4"/>
      <c r="K208" s="4"/>
    </row>
    <row r="209" ht="15.75" customHeight="1">
      <c r="A209" s="4"/>
      <c r="B209" s="4"/>
      <c r="C209" s="4"/>
      <c r="D209" s="48"/>
      <c r="E209" s="48"/>
      <c r="F209" s="48"/>
      <c r="G209" s="48"/>
      <c r="H209" s="48"/>
      <c r="I209" s="4"/>
      <c r="J209" s="4"/>
      <c r="K209" s="4"/>
    </row>
    <row r="210" ht="15.75" customHeight="1">
      <c r="A210" s="4"/>
      <c r="B210" s="4"/>
      <c r="C210" s="4"/>
      <c r="D210" s="48"/>
      <c r="E210" s="48"/>
      <c r="F210" s="48"/>
      <c r="G210" s="48"/>
      <c r="H210" s="48"/>
      <c r="I210" s="4"/>
      <c r="J210" s="4"/>
      <c r="K210" s="4"/>
    </row>
    <row r="211" ht="15.75" customHeight="1">
      <c r="A211" s="4"/>
      <c r="B211" s="4"/>
      <c r="C211" s="4"/>
      <c r="D211" s="48"/>
      <c r="E211" s="48"/>
      <c r="F211" s="48"/>
      <c r="G211" s="48"/>
      <c r="H211" s="48"/>
      <c r="I211" s="4"/>
      <c r="J211" s="4"/>
      <c r="K211" s="4"/>
    </row>
    <row r="212" ht="15.75" customHeight="1">
      <c r="A212" s="4"/>
      <c r="B212" s="4"/>
      <c r="C212" s="4"/>
      <c r="D212" s="48"/>
      <c r="E212" s="48"/>
      <c r="F212" s="48"/>
      <c r="G212" s="48"/>
      <c r="H212" s="48"/>
      <c r="I212" s="4"/>
      <c r="J212" s="4"/>
      <c r="K212" s="4"/>
    </row>
    <row r="213" ht="15.75" customHeight="1">
      <c r="A213" s="4"/>
      <c r="B213" s="4"/>
      <c r="C213" s="4"/>
      <c r="D213" s="48"/>
      <c r="E213" s="48"/>
      <c r="F213" s="48"/>
      <c r="G213" s="48"/>
      <c r="H213" s="48"/>
      <c r="I213" s="4"/>
      <c r="J213" s="4"/>
      <c r="K213" s="4"/>
    </row>
    <row r="214" ht="15.75" customHeight="1">
      <c r="A214" s="4"/>
      <c r="B214" s="4"/>
      <c r="C214" s="4"/>
      <c r="D214" s="48"/>
      <c r="E214" s="48"/>
      <c r="F214" s="48"/>
      <c r="G214" s="48"/>
      <c r="H214" s="48"/>
      <c r="I214" s="4"/>
      <c r="J214" s="4"/>
      <c r="K214" s="4"/>
    </row>
    <row r="215" ht="15.75" customHeight="1">
      <c r="A215" s="4"/>
      <c r="B215" s="4"/>
      <c r="C215" s="4"/>
      <c r="D215" s="48"/>
      <c r="E215" s="48"/>
      <c r="F215" s="48"/>
      <c r="G215" s="48"/>
      <c r="H215" s="48"/>
      <c r="I215" s="4"/>
      <c r="J215" s="4"/>
      <c r="K215" s="4"/>
    </row>
    <row r="216" ht="15.75" customHeight="1">
      <c r="A216" s="4"/>
      <c r="B216" s="4"/>
      <c r="C216" s="4"/>
      <c r="D216" s="48"/>
      <c r="E216" s="48"/>
      <c r="F216" s="48"/>
      <c r="G216" s="48"/>
      <c r="H216" s="48"/>
      <c r="I216" s="4"/>
      <c r="J216" s="4"/>
      <c r="K216" s="4"/>
    </row>
    <row r="217" ht="15.75" customHeight="1">
      <c r="A217" s="4"/>
      <c r="B217" s="4"/>
      <c r="C217" s="4"/>
      <c r="D217" s="48"/>
      <c r="E217" s="48"/>
      <c r="F217" s="48"/>
      <c r="G217" s="48"/>
      <c r="H217" s="48"/>
      <c r="I217" s="4"/>
      <c r="J217" s="4"/>
      <c r="K217" s="4"/>
    </row>
    <row r="218" ht="15.75" customHeight="1">
      <c r="A218" s="4"/>
      <c r="B218" s="4"/>
      <c r="C218" s="4"/>
      <c r="D218" s="48"/>
      <c r="E218" s="48"/>
      <c r="F218" s="48"/>
      <c r="G218" s="48"/>
      <c r="H218" s="48"/>
      <c r="I218" s="4"/>
      <c r="J218" s="4"/>
      <c r="K218" s="4"/>
    </row>
    <row r="219" ht="15.75" customHeight="1">
      <c r="A219" s="4"/>
      <c r="B219" s="4"/>
      <c r="C219" s="4"/>
      <c r="D219" s="48"/>
      <c r="E219" s="48"/>
      <c r="F219" s="48"/>
      <c r="G219" s="48"/>
      <c r="H219" s="48"/>
      <c r="I219" s="4"/>
      <c r="J219" s="4"/>
      <c r="K219" s="4"/>
    </row>
    <row r="220" ht="15.75" customHeight="1">
      <c r="A220" s="4"/>
      <c r="B220" s="4"/>
      <c r="C220" s="4"/>
      <c r="D220" s="48"/>
      <c r="E220" s="48"/>
      <c r="F220" s="48"/>
      <c r="G220" s="48"/>
      <c r="H220" s="48"/>
      <c r="I220" s="4"/>
      <c r="J220" s="4"/>
      <c r="K220" s="4"/>
    </row>
    <row r="221" ht="15.75" customHeight="1">
      <c r="A221" s="4"/>
      <c r="B221" s="4"/>
      <c r="C221" s="4"/>
      <c r="D221" s="48"/>
      <c r="E221" s="48"/>
      <c r="F221" s="48"/>
      <c r="G221" s="48"/>
      <c r="H221" s="48"/>
      <c r="I221" s="4"/>
      <c r="J221" s="4"/>
      <c r="K221" s="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:H2"/>
    <mergeCell ref="B4:H4"/>
    <mergeCell ref="B16:H16"/>
    <mergeCell ref="B21:C21"/>
  </mergeCells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15" width="12.0"/>
    <col customWidth="1" min="16" max="16" width="8.71"/>
  </cols>
  <sheetData>
    <row r="1" ht="21.75" customHeight="1">
      <c r="A1" s="1"/>
      <c r="B1" s="73" t="s">
        <v>236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97"/>
      <c r="O1" s="1"/>
      <c r="P1" s="1"/>
    </row>
    <row r="2" ht="21.75" customHeight="1">
      <c r="A2" s="1"/>
      <c r="B2" s="98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100"/>
      <c r="O2" s="55"/>
      <c r="P2" s="1"/>
    </row>
    <row r="3" ht="21.75" customHeight="1">
      <c r="A3" s="1"/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"/>
    </row>
    <row r="4" ht="21.75" customHeight="1">
      <c r="A4" s="1"/>
      <c r="B4" s="77"/>
      <c r="C4" s="77" t="s">
        <v>4</v>
      </c>
      <c r="D4" s="77" t="s">
        <v>237</v>
      </c>
      <c r="E4" s="77" t="s">
        <v>238</v>
      </c>
      <c r="F4" s="77" t="s">
        <v>239</v>
      </c>
      <c r="G4" s="77" t="s">
        <v>240</v>
      </c>
      <c r="H4" s="77" t="s">
        <v>241</v>
      </c>
      <c r="I4" s="77" t="s">
        <v>242</v>
      </c>
      <c r="J4" s="77" t="s">
        <v>243</v>
      </c>
      <c r="K4" s="77" t="s">
        <v>244</v>
      </c>
      <c r="L4" s="77" t="s">
        <v>245</v>
      </c>
      <c r="M4" s="77" t="s">
        <v>246</v>
      </c>
      <c r="N4" s="77" t="s">
        <v>247</v>
      </c>
      <c r="O4" s="77" t="s">
        <v>43</v>
      </c>
      <c r="P4" s="1"/>
    </row>
    <row r="5" ht="19.5" customHeight="1">
      <c r="A5" s="1"/>
      <c r="B5" s="102" t="s">
        <v>248</v>
      </c>
      <c r="C5" s="103">
        <v>3500.0</v>
      </c>
      <c r="D5" s="103">
        <v>3500.0</v>
      </c>
      <c r="E5" s="103">
        <v>3500.0</v>
      </c>
      <c r="F5" s="103">
        <v>3500.0</v>
      </c>
      <c r="G5" s="103">
        <v>3500.0</v>
      </c>
      <c r="H5" s="103">
        <v>3500.0</v>
      </c>
      <c r="I5" s="103">
        <v>3500.0</v>
      </c>
      <c r="J5" s="103">
        <v>3500.0</v>
      </c>
      <c r="K5" s="103">
        <v>3500.0</v>
      </c>
      <c r="L5" s="103">
        <v>3500.0</v>
      </c>
      <c r="M5" s="103">
        <v>3500.0</v>
      </c>
      <c r="N5" s="103">
        <v>3500.0</v>
      </c>
      <c r="O5" s="104">
        <f>SUM(C5:N5)</f>
        <v>42000</v>
      </c>
      <c r="P5" s="1"/>
    </row>
    <row r="6" ht="19.5" customHeight="1">
      <c r="A6" s="1"/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1"/>
    </row>
    <row r="7" ht="19.5" customHeight="1">
      <c r="A7" s="1"/>
      <c r="B7" s="105" t="s">
        <v>249</v>
      </c>
      <c r="C7" s="106">
        <v>2800.0</v>
      </c>
      <c r="D7" s="106">
        <v>2800.0</v>
      </c>
      <c r="E7" s="106">
        <v>2800.0</v>
      </c>
      <c r="F7" s="106">
        <v>2800.0</v>
      </c>
      <c r="G7" s="106">
        <v>2800.0</v>
      </c>
      <c r="H7" s="106">
        <v>2800.0</v>
      </c>
      <c r="I7" s="106">
        <v>2800.0</v>
      </c>
      <c r="J7" s="106">
        <v>2800.0</v>
      </c>
      <c r="K7" s="106">
        <v>2800.0</v>
      </c>
      <c r="L7" s="106">
        <v>2800.0</v>
      </c>
      <c r="M7" s="106">
        <v>2800.0</v>
      </c>
      <c r="N7" s="106">
        <v>2800.0</v>
      </c>
      <c r="O7" s="107">
        <f>SUM(C7:N7)</f>
        <v>33600</v>
      </c>
      <c r="P7" s="1"/>
    </row>
    <row r="8" ht="19.5" customHeight="1">
      <c r="A8" s="1"/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1"/>
    </row>
    <row r="9" ht="19.5" customHeight="1">
      <c r="A9" s="1"/>
      <c r="B9" s="108" t="s">
        <v>250</v>
      </c>
      <c r="C9" s="109">
        <v>700.0</v>
      </c>
      <c r="D9" s="109">
        <v>700.0</v>
      </c>
      <c r="E9" s="109">
        <v>700.0</v>
      </c>
      <c r="F9" s="109">
        <v>700.0</v>
      </c>
      <c r="G9" s="109">
        <v>700.0</v>
      </c>
      <c r="H9" s="109">
        <v>700.0</v>
      </c>
      <c r="I9" s="109">
        <v>700.0</v>
      </c>
      <c r="J9" s="109">
        <v>700.0</v>
      </c>
      <c r="K9" s="109">
        <v>700.0</v>
      </c>
      <c r="L9" s="109">
        <v>700.0</v>
      </c>
      <c r="M9" s="109">
        <v>700.0</v>
      </c>
      <c r="N9" s="109">
        <v>700.0</v>
      </c>
      <c r="O9" s="110">
        <f>SUM(C9:N9)</f>
        <v>8400</v>
      </c>
      <c r="P9" s="1"/>
    </row>
    <row r="10" ht="19.5" customHeight="1">
      <c r="A10" s="1"/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1"/>
    </row>
    <row r="11" ht="19.5" customHeight="1">
      <c r="A11" s="1"/>
      <c r="B11" s="111" t="s">
        <v>251</v>
      </c>
      <c r="C11" s="112">
        <v>500.0</v>
      </c>
      <c r="D11" s="112">
        <v>500.0</v>
      </c>
      <c r="E11" s="112">
        <v>500.0</v>
      </c>
      <c r="F11" s="112">
        <v>500.0</v>
      </c>
      <c r="G11" s="112">
        <v>500.0</v>
      </c>
      <c r="H11" s="112">
        <v>500.0</v>
      </c>
      <c r="I11" s="112">
        <v>500.0</v>
      </c>
      <c r="J11" s="112">
        <v>500.0</v>
      </c>
      <c r="K11" s="112">
        <v>500.0</v>
      </c>
      <c r="L11" s="112">
        <v>500.0</v>
      </c>
      <c r="M11" s="112">
        <v>500.0</v>
      </c>
      <c r="N11" s="112">
        <v>500.0</v>
      </c>
      <c r="O11" s="113">
        <f>SUM(C11:N11)</f>
        <v>6000</v>
      </c>
      <c r="P11" s="1"/>
    </row>
    <row r="12" ht="19.5" customHeight="1">
      <c r="A12" s="1"/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1"/>
    </row>
    <row r="13" ht="19.5" customHeight="1">
      <c r="A13" s="1"/>
      <c r="B13" s="75" t="s">
        <v>252</v>
      </c>
      <c r="C13" s="114">
        <v>500.0</v>
      </c>
      <c r="D13" s="114">
        <v>500.0</v>
      </c>
      <c r="E13" s="114">
        <v>500.0</v>
      </c>
      <c r="F13" s="114">
        <v>500.0</v>
      </c>
      <c r="G13" s="114">
        <v>500.0</v>
      </c>
      <c r="H13" s="114">
        <v>500.0</v>
      </c>
      <c r="I13" s="114">
        <v>500.0</v>
      </c>
      <c r="J13" s="114">
        <v>500.0</v>
      </c>
      <c r="K13" s="114">
        <v>500.0</v>
      </c>
      <c r="L13" s="114">
        <v>500.0</v>
      </c>
      <c r="M13" s="114">
        <v>500.0</v>
      </c>
      <c r="N13" s="114">
        <v>500.0</v>
      </c>
      <c r="O13" s="80">
        <f>SUM(C13:N13)</f>
        <v>6000</v>
      </c>
      <c r="P13" s="1"/>
    </row>
    <row r="14" ht="19.5" customHeight="1">
      <c r="A14" s="1"/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1"/>
    </row>
    <row r="15" ht="19.5" customHeight="1">
      <c r="A15" s="1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1"/>
    </row>
    <row r="16" ht="19.5" customHeight="1">
      <c r="A16" s="1"/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1"/>
    </row>
    <row r="17" ht="19.5" customHeight="1">
      <c r="A17" s="1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1"/>
    </row>
    <row r="18" ht="19.5" customHeight="1">
      <c r="A18" s="1"/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1"/>
    </row>
    <row r="19" ht="19.5" customHeight="1">
      <c r="A19" s="1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1"/>
    </row>
    <row r="20" ht="19.5" customHeight="1">
      <c r="A20" s="1"/>
      <c r="B20" s="115" t="s">
        <v>253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"/>
      <c r="P20" s="1"/>
    </row>
    <row r="21" ht="19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ht="19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ht="19.5" customHeight="1">
      <c r="A23" s="4"/>
      <c r="B23" s="4"/>
      <c r="C23" s="4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"/>
    </row>
    <row r="24" ht="19.5" customHeight="1">
      <c r="A24" s="4"/>
      <c r="B24" s="4"/>
      <c r="C24" s="4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"/>
    </row>
    <row r="25" ht="19.5" customHeight="1">
      <c r="A25" s="4"/>
      <c r="B25" s="4"/>
      <c r="C25" s="4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"/>
    </row>
    <row r="26" ht="19.5" customHeight="1">
      <c r="A26" s="4"/>
      <c r="B26" s="4"/>
      <c r="C26" s="4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"/>
    </row>
    <row r="27" ht="19.5" customHeight="1">
      <c r="A27" s="4"/>
      <c r="B27" s="4"/>
      <c r="C27" s="4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"/>
    </row>
    <row r="28" ht="19.5" customHeight="1">
      <c r="A28" s="4"/>
      <c r="B28" s="4"/>
      <c r="C28" s="4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"/>
    </row>
    <row r="29" ht="19.5" customHeight="1">
      <c r="A29" s="4"/>
      <c r="B29" s="4"/>
      <c r="C29" s="4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"/>
    </row>
    <row r="30" ht="19.5" customHeight="1">
      <c r="A30" s="4"/>
      <c r="B30" s="4"/>
      <c r="C30" s="4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"/>
    </row>
    <row r="31" ht="19.5" customHeight="1">
      <c r="A31" s="4"/>
      <c r="B31" s="4"/>
      <c r="C31" s="4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"/>
    </row>
    <row r="32" ht="19.5" customHeight="1">
      <c r="A32" s="4"/>
      <c r="B32" s="4"/>
      <c r="C32" s="4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"/>
    </row>
    <row r="33" ht="19.5" customHeight="1">
      <c r="A33" s="4"/>
      <c r="B33" s="4"/>
      <c r="C33" s="4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"/>
    </row>
    <row r="34" ht="19.5" customHeight="1">
      <c r="A34" s="4"/>
      <c r="B34" s="4"/>
      <c r="C34" s="4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"/>
    </row>
    <row r="35" ht="19.5" customHeight="1">
      <c r="A35" s="4"/>
      <c r="B35" s="4"/>
      <c r="C35" s="4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"/>
    </row>
    <row r="36" ht="19.5" customHeight="1">
      <c r="A36" s="4"/>
      <c r="B36" s="4"/>
      <c r="C36" s="4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"/>
    </row>
    <row r="37" ht="19.5" customHeight="1">
      <c r="A37" s="4"/>
      <c r="B37" s="4"/>
      <c r="C37" s="4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"/>
    </row>
    <row r="38" ht="19.5" customHeight="1">
      <c r="A38" s="4"/>
      <c r="B38" s="4"/>
      <c r="C38" s="4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"/>
    </row>
    <row r="39" ht="19.5" customHeight="1">
      <c r="A39" s="4"/>
      <c r="B39" s="4"/>
      <c r="C39" s="4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"/>
    </row>
    <row r="40" ht="19.5" customHeight="1">
      <c r="A40" s="4"/>
      <c r="B40" s="4"/>
      <c r="C40" s="4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"/>
    </row>
    <row r="41" ht="19.5" customHeight="1">
      <c r="A41" s="4"/>
      <c r="B41" s="4"/>
      <c r="C41" s="4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"/>
    </row>
    <row r="42" ht="19.5" customHeight="1">
      <c r="A42" s="4"/>
      <c r="B42" s="4"/>
      <c r="C42" s="4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"/>
    </row>
    <row r="43" ht="19.5" customHeight="1">
      <c r="A43" s="4"/>
      <c r="B43" s="4"/>
      <c r="C43" s="4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"/>
    </row>
    <row r="44" ht="19.5" customHeight="1">
      <c r="A44" s="4"/>
      <c r="B44" s="4"/>
      <c r="C44" s="4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"/>
    </row>
    <row r="45" ht="19.5" customHeight="1">
      <c r="A45" s="4"/>
      <c r="B45" s="4"/>
      <c r="C45" s="4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"/>
    </row>
    <row r="46" ht="19.5" customHeight="1">
      <c r="A46" s="4"/>
      <c r="B46" s="4"/>
      <c r="C46" s="4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"/>
    </row>
    <row r="47" ht="19.5" customHeight="1">
      <c r="A47" s="4"/>
      <c r="B47" s="4"/>
      <c r="C47" s="4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"/>
    </row>
    <row r="48" ht="19.5" customHeight="1">
      <c r="A48" s="4"/>
      <c r="B48" s="4"/>
      <c r="C48" s="4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"/>
    </row>
    <row r="49" ht="19.5" customHeight="1">
      <c r="A49" s="4"/>
      <c r="B49" s="4"/>
      <c r="C49" s="4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"/>
    </row>
    <row r="50" ht="15.75" customHeight="1">
      <c r="A50" s="4"/>
      <c r="B50" s="4"/>
      <c r="C50" s="4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"/>
    </row>
    <row r="51" ht="15.75" customHeight="1">
      <c r="A51" s="4"/>
      <c r="B51" s="4"/>
      <c r="C51" s="4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"/>
    </row>
    <row r="52" ht="15.75" customHeight="1">
      <c r="A52" s="4"/>
      <c r="B52" s="4"/>
      <c r="C52" s="4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"/>
    </row>
    <row r="53" ht="15.75" customHeight="1">
      <c r="A53" s="4"/>
      <c r="B53" s="4"/>
      <c r="C53" s="4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"/>
    </row>
    <row r="54" ht="15.75" customHeight="1">
      <c r="A54" s="4"/>
      <c r="B54" s="4"/>
      <c r="C54" s="4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"/>
    </row>
    <row r="55" ht="15.75" customHeight="1">
      <c r="A55" s="4"/>
      <c r="B55" s="4"/>
      <c r="C55" s="4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"/>
    </row>
    <row r="56" ht="15.75" customHeight="1">
      <c r="A56" s="4"/>
      <c r="B56" s="4"/>
      <c r="C56" s="4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"/>
    </row>
    <row r="57" ht="15.75" customHeight="1">
      <c r="A57" s="4"/>
      <c r="B57" s="4"/>
      <c r="C57" s="4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"/>
    </row>
    <row r="58" ht="15.75" customHeight="1">
      <c r="A58" s="4"/>
      <c r="B58" s="4"/>
      <c r="C58" s="4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"/>
    </row>
    <row r="59" ht="15.75" customHeight="1">
      <c r="A59" s="4"/>
      <c r="B59" s="4"/>
      <c r="C59" s="4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"/>
    </row>
    <row r="60" ht="15.75" customHeight="1">
      <c r="A60" s="4"/>
      <c r="B60" s="4"/>
      <c r="C60" s="4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"/>
    </row>
    <row r="61" ht="15.75" customHeight="1">
      <c r="A61" s="4"/>
      <c r="B61" s="4"/>
      <c r="C61" s="4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"/>
    </row>
    <row r="62" ht="15.75" customHeight="1">
      <c r="A62" s="4"/>
      <c r="B62" s="4"/>
      <c r="C62" s="4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"/>
    </row>
    <row r="63" ht="15.75" customHeight="1">
      <c r="A63" s="4"/>
      <c r="B63" s="4"/>
      <c r="C63" s="4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"/>
    </row>
    <row r="64" ht="15.75" customHeight="1">
      <c r="A64" s="4"/>
      <c r="B64" s="4"/>
      <c r="C64" s="4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"/>
    </row>
    <row r="65" ht="15.75" customHeight="1">
      <c r="A65" s="4"/>
      <c r="B65" s="4"/>
      <c r="C65" s="4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"/>
    </row>
    <row r="66" ht="15.75" customHeight="1">
      <c r="A66" s="4"/>
      <c r="B66" s="4"/>
      <c r="C66" s="4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"/>
    </row>
    <row r="67" ht="15.75" customHeight="1">
      <c r="A67" s="4"/>
      <c r="B67" s="4"/>
      <c r="C67" s="4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"/>
    </row>
    <row r="68" ht="15.75" customHeight="1">
      <c r="A68" s="4"/>
      <c r="B68" s="4"/>
      <c r="C68" s="4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"/>
    </row>
    <row r="69" ht="15.75" customHeight="1">
      <c r="A69" s="4"/>
      <c r="B69" s="4"/>
      <c r="C69" s="4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"/>
    </row>
    <row r="70" ht="15.75" customHeight="1">
      <c r="A70" s="4"/>
      <c r="B70" s="4"/>
      <c r="C70" s="4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"/>
    </row>
    <row r="71" ht="15.75" customHeight="1">
      <c r="A71" s="4"/>
      <c r="B71" s="4"/>
      <c r="C71" s="4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"/>
    </row>
    <row r="72" ht="15.75" customHeight="1">
      <c r="A72" s="4"/>
      <c r="B72" s="4"/>
      <c r="C72" s="4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"/>
    </row>
    <row r="73" ht="15.75" customHeight="1">
      <c r="A73" s="4"/>
      <c r="B73" s="4"/>
      <c r="C73" s="4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"/>
    </row>
    <row r="74" ht="15.75" customHeight="1">
      <c r="A74" s="4"/>
      <c r="B74" s="4"/>
      <c r="C74" s="4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"/>
    </row>
    <row r="75" ht="15.75" customHeight="1">
      <c r="A75" s="4"/>
      <c r="B75" s="4"/>
      <c r="C75" s="4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"/>
    </row>
    <row r="76" ht="15.75" customHeight="1">
      <c r="A76" s="4"/>
      <c r="B76" s="4"/>
      <c r="C76" s="4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"/>
    </row>
    <row r="77" ht="15.75" customHeight="1">
      <c r="A77" s="4"/>
      <c r="B77" s="4"/>
      <c r="C77" s="4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"/>
    </row>
    <row r="78" ht="15.75" customHeight="1">
      <c r="A78" s="4"/>
      <c r="B78" s="4"/>
      <c r="C78" s="4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"/>
    </row>
    <row r="79" ht="15.75" customHeight="1">
      <c r="A79" s="4"/>
      <c r="B79" s="4"/>
      <c r="C79" s="4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"/>
    </row>
    <row r="80" ht="15.75" customHeight="1">
      <c r="A80" s="4"/>
      <c r="B80" s="4"/>
      <c r="C80" s="4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"/>
    </row>
    <row r="81" ht="15.75" customHeight="1">
      <c r="A81" s="4"/>
      <c r="B81" s="4"/>
      <c r="C81" s="4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"/>
    </row>
    <row r="82" ht="15.75" customHeight="1">
      <c r="A82" s="4"/>
      <c r="B82" s="4"/>
      <c r="C82" s="4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"/>
    </row>
    <row r="83" ht="15.75" customHeight="1">
      <c r="A83" s="4"/>
      <c r="B83" s="4"/>
      <c r="C83" s="4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"/>
    </row>
    <row r="84" ht="15.75" customHeight="1">
      <c r="A84" s="4"/>
      <c r="B84" s="4"/>
      <c r="C84" s="4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"/>
    </row>
    <row r="85" ht="15.75" customHeight="1">
      <c r="A85" s="4"/>
      <c r="B85" s="4"/>
      <c r="C85" s="4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"/>
    </row>
    <row r="86" ht="15.75" customHeight="1">
      <c r="A86" s="4"/>
      <c r="B86" s="4"/>
      <c r="C86" s="4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"/>
    </row>
    <row r="87" ht="15.75" customHeight="1">
      <c r="A87" s="4"/>
      <c r="B87" s="4"/>
      <c r="C87" s="4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"/>
    </row>
    <row r="88" ht="15.75" customHeight="1">
      <c r="A88" s="4"/>
      <c r="B88" s="4"/>
      <c r="C88" s="4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"/>
    </row>
    <row r="89" ht="15.75" customHeight="1">
      <c r="A89" s="4"/>
      <c r="B89" s="4"/>
      <c r="C89" s="4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"/>
    </row>
    <row r="90" ht="15.75" customHeight="1">
      <c r="A90" s="4"/>
      <c r="B90" s="4"/>
      <c r="C90" s="4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"/>
    </row>
    <row r="91" ht="15.75" customHeight="1">
      <c r="A91" s="4"/>
      <c r="B91" s="4"/>
      <c r="C91" s="4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"/>
    </row>
    <row r="92" ht="15.75" customHeight="1">
      <c r="A92" s="4"/>
      <c r="B92" s="4"/>
      <c r="C92" s="4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"/>
    </row>
    <row r="93" ht="15.75" customHeight="1">
      <c r="A93" s="4"/>
      <c r="B93" s="4"/>
      <c r="C93" s="4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"/>
    </row>
    <row r="94" ht="15.75" customHeight="1">
      <c r="A94" s="4"/>
      <c r="B94" s="4"/>
      <c r="C94" s="4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"/>
    </row>
    <row r="95" ht="15.75" customHeight="1">
      <c r="A95" s="4"/>
      <c r="B95" s="4"/>
      <c r="C95" s="4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"/>
    </row>
    <row r="96" ht="15.75" customHeight="1">
      <c r="A96" s="4"/>
      <c r="B96" s="4"/>
      <c r="C96" s="4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"/>
    </row>
    <row r="97" ht="15.75" customHeight="1">
      <c r="A97" s="4"/>
      <c r="B97" s="4"/>
      <c r="C97" s="4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"/>
    </row>
    <row r="98" ht="15.75" customHeight="1">
      <c r="A98" s="4"/>
      <c r="B98" s="4"/>
      <c r="C98" s="4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"/>
    </row>
    <row r="99" ht="15.75" customHeight="1">
      <c r="A99" s="4"/>
      <c r="B99" s="4"/>
      <c r="C99" s="4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"/>
    </row>
    <row r="100" ht="15.75" customHeight="1">
      <c r="A100" s="4"/>
      <c r="B100" s="4"/>
      <c r="C100" s="4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"/>
    </row>
    <row r="101" ht="15.75" customHeight="1">
      <c r="A101" s="4"/>
      <c r="B101" s="4"/>
      <c r="C101" s="4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"/>
    </row>
    <row r="102" ht="15.75" customHeight="1">
      <c r="A102" s="4"/>
      <c r="B102" s="4"/>
      <c r="C102" s="4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"/>
    </row>
    <row r="103" ht="15.75" customHeight="1">
      <c r="A103" s="4"/>
      <c r="B103" s="4"/>
      <c r="C103" s="4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"/>
    </row>
    <row r="104" ht="15.75" customHeight="1">
      <c r="A104" s="4"/>
      <c r="B104" s="4"/>
      <c r="C104" s="4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"/>
    </row>
    <row r="105" ht="15.75" customHeight="1">
      <c r="A105" s="4"/>
      <c r="B105" s="4"/>
      <c r="C105" s="4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"/>
    </row>
    <row r="106" ht="15.75" customHeight="1">
      <c r="A106" s="4"/>
      <c r="B106" s="4"/>
      <c r="C106" s="4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"/>
    </row>
    <row r="107" ht="15.75" customHeight="1">
      <c r="A107" s="4"/>
      <c r="B107" s="4"/>
      <c r="C107" s="4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"/>
    </row>
    <row r="108" ht="15.75" customHeight="1">
      <c r="A108" s="4"/>
      <c r="B108" s="4"/>
      <c r="C108" s="4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"/>
    </row>
    <row r="109" ht="15.75" customHeight="1">
      <c r="A109" s="4"/>
      <c r="B109" s="4"/>
      <c r="C109" s="4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"/>
    </row>
    <row r="110" ht="15.75" customHeight="1">
      <c r="A110" s="4"/>
      <c r="B110" s="4"/>
      <c r="C110" s="4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"/>
    </row>
    <row r="111" ht="15.75" customHeight="1">
      <c r="A111" s="4"/>
      <c r="B111" s="4"/>
      <c r="C111" s="4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"/>
    </row>
    <row r="112" ht="15.75" customHeight="1">
      <c r="A112" s="4"/>
      <c r="B112" s="4"/>
      <c r="C112" s="4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"/>
    </row>
    <row r="113" ht="15.75" customHeight="1">
      <c r="A113" s="4"/>
      <c r="B113" s="4"/>
      <c r="C113" s="4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"/>
    </row>
    <row r="114" ht="15.75" customHeight="1">
      <c r="A114" s="4"/>
      <c r="B114" s="4"/>
      <c r="C114" s="4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"/>
    </row>
    <row r="115" ht="15.75" customHeight="1">
      <c r="A115" s="4"/>
      <c r="B115" s="4"/>
      <c r="C115" s="4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"/>
    </row>
    <row r="116" ht="15.75" customHeight="1">
      <c r="A116" s="4"/>
      <c r="B116" s="4"/>
      <c r="C116" s="4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"/>
    </row>
    <row r="117" ht="15.75" customHeight="1">
      <c r="A117" s="4"/>
      <c r="B117" s="4"/>
      <c r="C117" s="4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"/>
    </row>
    <row r="118" ht="15.75" customHeight="1">
      <c r="A118" s="4"/>
      <c r="B118" s="4"/>
      <c r="C118" s="4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"/>
    </row>
    <row r="119" ht="15.75" customHeight="1">
      <c r="A119" s="4"/>
      <c r="B119" s="4"/>
      <c r="C119" s="4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"/>
    </row>
    <row r="120" ht="15.75" customHeight="1">
      <c r="A120" s="4"/>
      <c r="B120" s="4"/>
      <c r="C120" s="4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"/>
    </row>
    <row r="121" ht="15.75" customHeight="1">
      <c r="A121" s="4"/>
      <c r="B121" s="4"/>
      <c r="C121" s="4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"/>
    </row>
    <row r="122" ht="15.75" customHeight="1">
      <c r="A122" s="4"/>
      <c r="B122" s="4"/>
      <c r="C122" s="4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"/>
    </row>
    <row r="123" ht="15.75" customHeight="1">
      <c r="A123" s="4"/>
      <c r="B123" s="4"/>
      <c r="C123" s="4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"/>
    </row>
    <row r="124" ht="15.75" customHeight="1">
      <c r="A124" s="4"/>
      <c r="B124" s="4"/>
      <c r="C124" s="4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"/>
    </row>
    <row r="125" ht="15.75" customHeight="1">
      <c r="A125" s="4"/>
      <c r="B125" s="4"/>
      <c r="C125" s="4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"/>
    </row>
    <row r="126" ht="15.75" customHeight="1">
      <c r="A126" s="4"/>
      <c r="B126" s="4"/>
      <c r="C126" s="4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"/>
    </row>
    <row r="127" ht="15.75" customHeight="1">
      <c r="A127" s="4"/>
      <c r="B127" s="4"/>
      <c r="C127" s="4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"/>
    </row>
    <row r="128" ht="15.75" customHeight="1">
      <c r="A128" s="4"/>
      <c r="B128" s="4"/>
      <c r="C128" s="4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"/>
    </row>
    <row r="129" ht="15.75" customHeight="1">
      <c r="A129" s="4"/>
      <c r="B129" s="4"/>
      <c r="C129" s="4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"/>
    </row>
    <row r="130" ht="15.75" customHeight="1">
      <c r="A130" s="4"/>
      <c r="B130" s="4"/>
      <c r="C130" s="4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"/>
    </row>
    <row r="131" ht="15.75" customHeight="1">
      <c r="A131" s="4"/>
      <c r="B131" s="4"/>
      <c r="C131" s="4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"/>
    </row>
    <row r="132" ht="15.75" customHeight="1">
      <c r="A132" s="4"/>
      <c r="B132" s="4"/>
      <c r="C132" s="4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"/>
    </row>
    <row r="133" ht="15.75" customHeight="1">
      <c r="A133" s="4"/>
      <c r="B133" s="4"/>
      <c r="C133" s="4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"/>
    </row>
    <row r="134" ht="15.75" customHeight="1">
      <c r="A134" s="4"/>
      <c r="B134" s="4"/>
      <c r="C134" s="4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"/>
    </row>
    <row r="135" ht="15.75" customHeight="1">
      <c r="A135" s="4"/>
      <c r="B135" s="4"/>
      <c r="C135" s="4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"/>
    </row>
    <row r="136" ht="15.75" customHeight="1">
      <c r="A136" s="4"/>
      <c r="B136" s="4"/>
      <c r="C136" s="4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"/>
    </row>
    <row r="137" ht="15.75" customHeight="1">
      <c r="A137" s="4"/>
      <c r="B137" s="4"/>
      <c r="C137" s="4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"/>
    </row>
    <row r="138" ht="15.75" customHeight="1">
      <c r="A138" s="4"/>
      <c r="B138" s="4"/>
      <c r="C138" s="4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"/>
    </row>
    <row r="139" ht="15.75" customHeight="1">
      <c r="A139" s="4"/>
      <c r="B139" s="4"/>
      <c r="C139" s="4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"/>
    </row>
    <row r="140" ht="15.75" customHeight="1">
      <c r="A140" s="4"/>
      <c r="B140" s="4"/>
      <c r="C140" s="4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"/>
    </row>
    <row r="141" ht="15.75" customHeight="1">
      <c r="A141" s="4"/>
      <c r="B141" s="4"/>
      <c r="C141" s="4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"/>
    </row>
    <row r="142" ht="15.75" customHeight="1">
      <c r="A142" s="4"/>
      <c r="B142" s="4"/>
      <c r="C142" s="4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"/>
    </row>
    <row r="143" ht="15.75" customHeight="1">
      <c r="A143" s="4"/>
      <c r="B143" s="4"/>
      <c r="C143" s="4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"/>
    </row>
    <row r="144" ht="15.75" customHeight="1">
      <c r="A144" s="4"/>
      <c r="B144" s="4"/>
      <c r="C144" s="4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"/>
    </row>
    <row r="145" ht="15.75" customHeight="1">
      <c r="A145" s="4"/>
      <c r="B145" s="4"/>
      <c r="C145" s="4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"/>
    </row>
    <row r="146" ht="15.75" customHeight="1">
      <c r="A146" s="4"/>
      <c r="B146" s="4"/>
      <c r="C146" s="4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"/>
    </row>
    <row r="147" ht="15.75" customHeight="1">
      <c r="A147" s="4"/>
      <c r="B147" s="4"/>
      <c r="C147" s="4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"/>
    </row>
    <row r="148" ht="15.75" customHeight="1">
      <c r="A148" s="4"/>
      <c r="B148" s="4"/>
      <c r="C148" s="4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"/>
    </row>
    <row r="149" ht="15.75" customHeight="1">
      <c r="A149" s="4"/>
      <c r="B149" s="4"/>
      <c r="C149" s="4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"/>
    </row>
    <row r="150" ht="15.75" customHeight="1">
      <c r="A150" s="4"/>
      <c r="B150" s="4"/>
      <c r="C150" s="4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"/>
    </row>
    <row r="151" ht="15.75" customHeight="1">
      <c r="A151" s="4"/>
      <c r="B151" s="4"/>
      <c r="C151" s="4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"/>
    </row>
    <row r="152" ht="15.75" customHeight="1">
      <c r="A152" s="4"/>
      <c r="B152" s="4"/>
      <c r="C152" s="4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"/>
    </row>
    <row r="153" ht="15.75" customHeight="1">
      <c r="A153" s="4"/>
      <c r="B153" s="4"/>
      <c r="C153" s="4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"/>
    </row>
    <row r="154" ht="15.75" customHeight="1">
      <c r="A154" s="4"/>
      <c r="B154" s="4"/>
      <c r="C154" s="4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"/>
    </row>
    <row r="155" ht="15.75" customHeight="1">
      <c r="A155" s="4"/>
      <c r="B155" s="4"/>
      <c r="C155" s="4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"/>
    </row>
    <row r="156" ht="15.75" customHeight="1">
      <c r="A156" s="4"/>
      <c r="B156" s="4"/>
      <c r="C156" s="4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"/>
    </row>
    <row r="157" ht="15.75" customHeight="1">
      <c r="A157" s="4"/>
      <c r="B157" s="4"/>
      <c r="C157" s="4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"/>
    </row>
    <row r="158" ht="15.75" customHeight="1">
      <c r="A158" s="4"/>
      <c r="B158" s="4"/>
      <c r="C158" s="4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"/>
    </row>
    <row r="159" ht="15.75" customHeight="1">
      <c r="A159" s="4"/>
      <c r="B159" s="4"/>
      <c r="C159" s="4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"/>
    </row>
    <row r="160" ht="15.75" customHeight="1">
      <c r="A160" s="4"/>
      <c r="B160" s="4"/>
      <c r="C160" s="4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"/>
    </row>
    <row r="161" ht="15.75" customHeight="1">
      <c r="A161" s="4"/>
      <c r="B161" s="4"/>
      <c r="C161" s="4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"/>
    </row>
    <row r="162" ht="15.75" customHeight="1">
      <c r="A162" s="4"/>
      <c r="B162" s="4"/>
      <c r="C162" s="4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"/>
    </row>
    <row r="163" ht="15.75" customHeight="1">
      <c r="A163" s="4"/>
      <c r="B163" s="4"/>
      <c r="C163" s="4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"/>
    </row>
    <row r="164" ht="15.75" customHeight="1">
      <c r="A164" s="4"/>
      <c r="B164" s="4"/>
      <c r="C164" s="4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"/>
    </row>
    <row r="165" ht="15.75" customHeight="1">
      <c r="A165" s="4"/>
      <c r="B165" s="4"/>
      <c r="C165" s="4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"/>
    </row>
    <row r="166" ht="15.75" customHeight="1">
      <c r="A166" s="4"/>
      <c r="B166" s="4"/>
      <c r="C166" s="4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"/>
    </row>
    <row r="167" ht="15.75" customHeight="1">
      <c r="A167" s="4"/>
      <c r="B167" s="4"/>
      <c r="C167" s="4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"/>
    </row>
    <row r="168" ht="15.75" customHeight="1">
      <c r="A168" s="4"/>
      <c r="B168" s="4"/>
      <c r="C168" s="4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"/>
    </row>
    <row r="169" ht="15.75" customHeight="1">
      <c r="A169" s="4"/>
      <c r="B169" s="4"/>
      <c r="C169" s="4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"/>
    </row>
    <row r="170" ht="15.75" customHeight="1">
      <c r="A170" s="4"/>
      <c r="B170" s="4"/>
      <c r="C170" s="4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"/>
    </row>
    <row r="171" ht="15.75" customHeight="1">
      <c r="A171" s="4"/>
      <c r="B171" s="4"/>
      <c r="C171" s="4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"/>
    </row>
    <row r="172" ht="15.75" customHeight="1">
      <c r="A172" s="4"/>
      <c r="B172" s="4"/>
      <c r="C172" s="4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"/>
    </row>
    <row r="173" ht="15.75" customHeight="1">
      <c r="A173" s="4"/>
      <c r="B173" s="4"/>
      <c r="C173" s="4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"/>
    </row>
    <row r="174" ht="15.75" customHeight="1">
      <c r="A174" s="4"/>
      <c r="B174" s="4"/>
      <c r="C174" s="4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"/>
    </row>
    <row r="175" ht="15.75" customHeight="1">
      <c r="A175" s="4"/>
      <c r="B175" s="4"/>
      <c r="C175" s="4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"/>
    </row>
    <row r="176" ht="15.75" customHeight="1">
      <c r="A176" s="4"/>
      <c r="B176" s="4"/>
      <c r="C176" s="4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"/>
    </row>
    <row r="177" ht="15.75" customHeight="1">
      <c r="A177" s="4"/>
      <c r="B177" s="4"/>
      <c r="C177" s="4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"/>
    </row>
    <row r="178" ht="15.75" customHeight="1">
      <c r="A178" s="4"/>
      <c r="B178" s="4"/>
      <c r="C178" s="4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"/>
    </row>
    <row r="179" ht="15.75" customHeight="1">
      <c r="A179" s="4"/>
      <c r="B179" s="4"/>
      <c r="C179" s="4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"/>
    </row>
    <row r="180" ht="15.75" customHeight="1">
      <c r="A180" s="4"/>
      <c r="B180" s="4"/>
      <c r="C180" s="4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"/>
    </row>
    <row r="181" ht="15.75" customHeight="1">
      <c r="A181" s="4"/>
      <c r="B181" s="4"/>
      <c r="C181" s="4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"/>
    </row>
    <row r="182" ht="15.75" customHeight="1">
      <c r="A182" s="4"/>
      <c r="B182" s="4"/>
      <c r="C182" s="4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"/>
    </row>
    <row r="183" ht="15.75" customHeight="1">
      <c r="A183" s="4"/>
      <c r="B183" s="4"/>
      <c r="C183" s="4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"/>
    </row>
    <row r="184" ht="15.75" customHeight="1">
      <c r="A184" s="4"/>
      <c r="B184" s="4"/>
      <c r="C184" s="4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"/>
    </row>
    <row r="185" ht="15.75" customHeight="1">
      <c r="A185" s="4"/>
      <c r="B185" s="4"/>
      <c r="C185" s="4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"/>
    </row>
    <row r="186" ht="15.75" customHeight="1">
      <c r="A186" s="4"/>
      <c r="B186" s="4"/>
      <c r="C186" s="4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"/>
    </row>
    <row r="187" ht="15.75" customHeight="1">
      <c r="A187" s="4"/>
      <c r="B187" s="4"/>
      <c r="C187" s="4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"/>
    </row>
    <row r="188" ht="15.75" customHeight="1">
      <c r="A188" s="4"/>
      <c r="B188" s="4"/>
      <c r="C188" s="4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"/>
    </row>
    <row r="189" ht="15.75" customHeight="1">
      <c r="A189" s="4"/>
      <c r="B189" s="4"/>
      <c r="C189" s="4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"/>
    </row>
    <row r="190" ht="15.75" customHeight="1">
      <c r="A190" s="4"/>
      <c r="B190" s="4"/>
      <c r="C190" s="4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"/>
    </row>
    <row r="191" ht="15.75" customHeight="1">
      <c r="A191" s="4"/>
      <c r="B191" s="4"/>
      <c r="C191" s="4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"/>
    </row>
    <row r="192" ht="15.75" customHeight="1">
      <c r="A192" s="4"/>
      <c r="B192" s="4"/>
      <c r="C192" s="4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"/>
    </row>
    <row r="193" ht="15.75" customHeight="1">
      <c r="A193" s="4"/>
      <c r="B193" s="4"/>
      <c r="C193" s="4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"/>
    </row>
    <row r="194" ht="15.75" customHeight="1">
      <c r="A194" s="4"/>
      <c r="B194" s="4"/>
      <c r="C194" s="4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"/>
    </row>
    <row r="195" ht="15.75" customHeight="1">
      <c r="A195" s="4"/>
      <c r="B195" s="4"/>
      <c r="C195" s="4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"/>
    </row>
    <row r="196" ht="15.75" customHeight="1">
      <c r="A196" s="4"/>
      <c r="B196" s="4"/>
      <c r="C196" s="4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"/>
    </row>
    <row r="197" ht="15.75" customHeight="1">
      <c r="A197" s="4"/>
      <c r="B197" s="4"/>
      <c r="C197" s="4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"/>
    </row>
    <row r="198" ht="15.75" customHeight="1">
      <c r="A198" s="4"/>
      <c r="B198" s="4"/>
      <c r="C198" s="4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"/>
    </row>
    <row r="199" ht="15.75" customHeight="1">
      <c r="A199" s="4"/>
      <c r="B199" s="4"/>
      <c r="C199" s="4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"/>
    </row>
    <row r="200" ht="15.75" customHeight="1">
      <c r="A200" s="4"/>
      <c r="B200" s="4"/>
      <c r="C200" s="4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"/>
    </row>
    <row r="201" ht="15.75" customHeight="1">
      <c r="A201" s="4"/>
      <c r="B201" s="4"/>
      <c r="C201" s="4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"/>
    </row>
    <row r="202" ht="15.75" customHeight="1">
      <c r="A202" s="4"/>
      <c r="B202" s="4"/>
      <c r="C202" s="4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"/>
    </row>
    <row r="203" ht="15.75" customHeight="1">
      <c r="A203" s="4"/>
      <c r="B203" s="4"/>
      <c r="C203" s="4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"/>
    </row>
    <row r="204" ht="15.75" customHeight="1">
      <c r="A204" s="4"/>
      <c r="B204" s="4"/>
      <c r="C204" s="4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"/>
    </row>
    <row r="205" ht="15.75" customHeight="1">
      <c r="A205" s="4"/>
      <c r="B205" s="4"/>
      <c r="C205" s="4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"/>
    </row>
    <row r="206" ht="15.75" customHeight="1">
      <c r="A206" s="4"/>
      <c r="B206" s="4"/>
      <c r="C206" s="4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"/>
    </row>
    <row r="207" ht="15.75" customHeight="1">
      <c r="A207" s="4"/>
      <c r="B207" s="4"/>
      <c r="C207" s="4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"/>
    </row>
    <row r="208" ht="15.75" customHeight="1">
      <c r="A208" s="4"/>
      <c r="B208" s="4"/>
      <c r="C208" s="4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"/>
    </row>
    <row r="209" ht="15.75" customHeight="1">
      <c r="A209" s="4"/>
      <c r="B209" s="4"/>
      <c r="C209" s="4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"/>
    </row>
    <row r="210" ht="15.75" customHeight="1">
      <c r="A210" s="4"/>
      <c r="B210" s="4"/>
      <c r="C210" s="4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"/>
    </row>
    <row r="211" ht="15.75" customHeight="1">
      <c r="A211" s="4"/>
      <c r="B211" s="4"/>
      <c r="C211" s="4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"/>
    </row>
    <row r="212" ht="15.75" customHeight="1">
      <c r="A212" s="4"/>
      <c r="B212" s="4"/>
      <c r="C212" s="4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"/>
    </row>
    <row r="213" ht="15.75" customHeight="1">
      <c r="A213" s="4"/>
      <c r="B213" s="4"/>
      <c r="C213" s="4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"/>
    </row>
    <row r="214" ht="15.75" customHeight="1">
      <c r="A214" s="4"/>
      <c r="B214" s="4"/>
      <c r="C214" s="4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"/>
    </row>
    <row r="215" ht="15.75" customHeight="1">
      <c r="A215" s="4"/>
      <c r="B215" s="4"/>
      <c r="C215" s="4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"/>
    </row>
    <row r="216" ht="15.75" customHeight="1">
      <c r="A216" s="4"/>
      <c r="B216" s="4"/>
      <c r="C216" s="4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"/>
    </row>
    <row r="217" ht="15.75" customHeight="1">
      <c r="A217" s="4"/>
      <c r="B217" s="4"/>
      <c r="C217" s="4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"/>
    </row>
    <row r="218" ht="15.75" customHeight="1">
      <c r="A218" s="4"/>
      <c r="B218" s="4"/>
      <c r="C218" s="4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"/>
    </row>
    <row r="219" ht="15.75" customHeight="1">
      <c r="A219" s="4"/>
      <c r="B219" s="4"/>
      <c r="C219" s="4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"/>
    </row>
    <row r="220" ht="15.75" customHeight="1">
      <c r="A220" s="4"/>
      <c r="B220" s="4"/>
      <c r="C220" s="4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N2"/>
    <mergeCell ref="B20:N20"/>
  </mergeCells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FAA2D"/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5.0"/>
    <col customWidth="1" min="3" max="3" width="12.0"/>
    <col customWidth="1" min="4" max="4" width="14.0"/>
    <col customWidth="1" min="5" max="5" width="16.0"/>
    <col customWidth="1" min="6" max="7" width="8.71"/>
  </cols>
  <sheetData>
    <row r="1" ht="21.75" customHeight="1">
      <c r="A1" s="1"/>
      <c r="B1" s="73" t="s">
        <v>254</v>
      </c>
      <c r="C1" s="3"/>
      <c r="D1" s="3"/>
      <c r="E1" s="3"/>
      <c r="F1" s="1"/>
      <c r="G1" s="1"/>
    </row>
    <row r="2" ht="21.75" customHeight="1">
      <c r="A2" s="1"/>
      <c r="B2" s="5"/>
      <c r="F2" s="1"/>
      <c r="G2" s="1"/>
    </row>
    <row r="3" ht="21.75" customHeight="1">
      <c r="A3" s="1"/>
      <c r="B3" s="116"/>
      <c r="C3" s="116"/>
      <c r="D3" s="116"/>
      <c r="E3" s="116"/>
      <c r="F3" s="1"/>
      <c r="G3" s="1"/>
    </row>
    <row r="4" ht="21.75" customHeight="1">
      <c r="A4" s="1"/>
      <c r="B4" s="117" t="s">
        <v>20</v>
      </c>
      <c r="C4" s="117" t="s">
        <v>21</v>
      </c>
      <c r="D4" s="117" t="s">
        <v>255</v>
      </c>
      <c r="E4" s="117" t="s">
        <v>256</v>
      </c>
      <c r="F4" s="1"/>
      <c r="G4" s="1"/>
    </row>
    <row r="5" ht="15.0" customHeight="1">
      <c r="A5" s="1"/>
      <c r="B5" s="116" t="s">
        <v>27</v>
      </c>
      <c r="C5" s="116" t="s">
        <v>28</v>
      </c>
      <c r="D5" s="116" t="s">
        <v>257</v>
      </c>
      <c r="E5" s="116" t="s">
        <v>258</v>
      </c>
      <c r="F5" s="1"/>
      <c r="G5" s="1"/>
    </row>
    <row r="6" ht="15.0" customHeight="1">
      <c r="A6" s="1"/>
      <c r="B6" s="117" t="s">
        <v>29</v>
      </c>
      <c r="C6" s="117" t="s">
        <v>28</v>
      </c>
      <c r="D6" s="117" t="s">
        <v>259</v>
      </c>
      <c r="E6" s="117" t="s">
        <v>260</v>
      </c>
      <c r="F6" s="1"/>
      <c r="G6" s="1"/>
    </row>
    <row r="7" ht="15.0" customHeight="1">
      <c r="A7" s="1"/>
      <c r="B7" s="116" t="s">
        <v>30</v>
      </c>
      <c r="C7" s="116" t="s">
        <v>28</v>
      </c>
      <c r="D7" s="116" t="s">
        <v>261</v>
      </c>
      <c r="E7" s="116" t="s">
        <v>260</v>
      </c>
      <c r="F7" s="1"/>
      <c r="G7" s="1"/>
    </row>
    <row r="8" ht="15.0" customHeight="1">
      <c r="A8" s="1"/>
      <c r="B8" s="117" t="s">
        <v>31</v>
      </c>
      <c r="C8" s="117" t="s">
        <v>32</v>
      </c>
      <c r="D8" s="117" t="s">
        <v>262</v>
      </c>
      <c r="E8" s="117" t="s">
        <v>263</v>
      </c>
      <c r="F8" s="1"/>
      <c r="G8" s="1"/>
    </row>
    <row r="9" ht="15.0" customHeight="1">
      <c r="A9" s="1"/>
      <c r="B9" s="116" t="s">
        <v>33</v>
      </c>
      <c r="C9" s="116" t="s">
        <v>28</v>
      </c>
      <c r="D9" s="116" t="s">
        <v>264</v>
      </c>
      <c r="E9" s="116" t="s">
        <v>260</v>
      </c>
      <c r="F9" s="1"/>
      <c r="G9" s="1"/>
    </row>
    <row r="10" ht="15.0" customHeight="1">
      <c r="A10" s="1"/>
      <c r="B10" s="117" t="s">
        <v>34</v>
      </c>
      <c r="C10" s="117" t="s">
        <v>32</v>
      </c>
      <c r="D10" s="117" t="s">
        <v>265</v>
      </c>
      <c r="E10" s="117" t="s">
        <v>266</v>
      </c>
      <c r="F10" s="1"/>
      <c r="G10" s="1"/>
    </row>
    <row r="11" ht="15.0" customHeight="1">
      <c r="A11" s="1"/>
      <c r="B11" s="116" t="s">
        <v>35</v>
      </c>
      <c r="C11" s="116" t="s">
        <v>36</v>
      </c>
      <c r="D11" s="116" t="s">
        <v>267</v>
      </c>
      <c r="E11" s="116" t="s">
        <v>266</v>
      </c>
      <c r="F11" s="1"/>
      <c r="G11" s="1"/>
    </row>
    <row r="12" ht="15.0" customHeight="1">
      <c r="A12" s="1"/>
      <c r="B12" s="117" t="s">
        <v>37</v>
      </c>
      <c r="C12" s="117" t="s">
        <v>36</v>
      </c>
      <c r="D12" s="117" t="s">
        <v>268</v>
      </c>
      <c r="E12" s="117" t="s">
        <v>266</v>
      </c>
      <c r="F12" s="1"/>
      <c r="G12" s="1"/>
    </row>
    <row r="13" ht="15.0" customHeight="1">
      <c r="A13" s="1"/>
      <c r="B13" s="116" t="s">
        <v>38</v>
      </c>
      <c r="C13" s="116" t="s">
        <v>28</v>
      </c>
      <c r="D13" s="116" t="s">
        <v>269</v>
      </c>
      <c r="E13" s="116" t="s">
        <v>270</v>
      </c>
      <c r="F13" s="1"/>
      <c r="G13" s="1"/>
    </row>
    <row r="14" ht="15.0" customHeight="1">
      <c r="A14" s="1"/>
      <c r="B14" s="117" t="s">
        <v>39</v>
      </c>
      <c r="C14" s="117" t="s">
        <v>40</v>
      </c>
      <c r="D14" s="117" t="s">
        <v>271</v>
      </c>
      <c r="E14" s="117" t="s">
        <v>260</v>
      </c>
      <c r="F14" s="1"/>
      <c r="G14" s="1"/>
    </row>
    <row r="15" ht="15.0" customHeight="1">
      <c r="A15" s="1"/>
      <c r="B15" s="116" t="s">
        <v>41</v>
      </c>
      <c r="C15" s="116" t="s">
        <v>28</v>
      </c>
      <c r="D15" s="116" t="s">
        <v>272</v>
      </c>
      <c r="E15" s="116" t="s">
        <v>266</v>
      </c>
      <c r="F15" s="1"/>
      <c r="G15" s="1"/>
    </row>
    <row r="16" ht="15.0" customHeight="1">
      <c r="A16" s="1"/>
      <c r="B16" s="117" t="s">
        <v>42</v>
      </c>
      <c r="C16" s="117" t="s">
        <v>32</v>
      </c>
      <c r="D16" s="117" t="s">
        <v>273</v>
      </c>
      <c r="E16" s="117" t="s">
        <v>266</v>
      </c>
      <c r="F16" s="1"/>
      <c r="G16" s="1"/>
    </row>
    <row r="17">
      <c r="A17" s="1"/>
      <c r="B17" s="116"/>
      <c r="C17" s="116"/>
      <c r="D17" s="116"/>
      <c r="E17" s="116"/>
      <c r="F17" s="1"/>
      <c r="G17" s="1"/>
    </row>
    <row r="18">
      <c r="A18" s="1"/>
      <c r="B18" s="117"/>
      <c r="C18" s="117"/>
      <c r="D18" s="117"/>
      <c r="E18" s="117"/>
      <c r="F18" s="1"/>
      <c r="G18" s="1"/>
    </row>
    <row r="19">
      <c r="A19" s="1"/>
      <c r="B19" s="116"/>
      <c r="C19" s="116"/>
      <c r="D19" s="116"/>
      <c r="E19" s="116"/>
      <c r="F19" s="1"/>
      <c r="G19" s="1"/>
    </row>
    <row r="20" ht="15.0" customHeight="1">
      <c r="A20" s="1"/>
      <c r="B20" s="118" t="s">
        <v>274</v>
      </c>
      <c r="C20" s="7"/>
      <c r="D20" s="7"/>
      <c r="E20" s="7"/>
      <c r="F20" s="1"/>
      <c r="G20" s="1"/>
    </row>
    <row r="21" ht="15.0" customHeight="1">
      <c r="A21" s="1"/>
      <c r="B21" s="119" t="s">
        <v>275</v>
      </c>
      <c r="C21" s="7"/>
      <c r="D21" s="7"/>
      <c r="E21" s="7"/>
      <c r="F21" s="1"/>
      <c r="G21" s="1"/>
    </row>
    <row r="22" ht="15.0" customHeight="1">
      <c r="A22" s="1"/>
      <c r="B22" s="118" t="s">
        <v>276</v>
      </c>
      <c r="C22" s="7"/>
      <c r="D22" s="7"/>
      <c r="E22" s="7"/>
      <c r="F22" s="1"/>
      <c r="G22" s="1"/>
    </row>
    <row r="23" ht="15.0" customHeight="1">
      <c r="A23" s="1"/>
      <c r="B23" s="119" t="s">
        <v>277</v>
      </c>
      <c r="C23" s="7"/>
      <c r="D23" s="7"/>
      <c r="E23" s="7"/>
      <c r="F23" s="1"/>
      <c r="G23" s="1"/>
    </row>
    <row r="24" ht="15.0" customHeight="1">
      <c r="A24" s="1"/>
      <c r="B24" s="118" t="s">
        <v>278</v>
      </c>
      <c r="C24" s="7"/>
      <c r="D24" s="7"/>
      <c r="E24" s="7"/>
      <c r="F24" s="1"/>
      <c r="G24" s="1"/>
    </row>
    <row r="25" ht="15.0" customHeight="1">
      <c r="A25" s="1"/>
      <c r="B25" s="119" t="s">
        <v>279</v>
      </c>
      <c r="C25" s="7"/>
      <c r="D25" s="7"/>
      <c r="E25" s="7"/>
      <c r="F25" s="1"/>
      <c r="G25" s="1"/>
    </row>
    <row r="26" ht="15.0" customHeight="1">
      <c r="A26" s="1"/>
      <c r="B26" s="118" t="s">
        <v>280</v>
      </c>
      <c r="C26" s="7"/>
      <c r="D26" s="7"/>
      <c r="E26" s="7"/>
      <c r="F26" s="1"/>
      <c r="G26" s="1"/>
    </row>
    <row r="27" ht="15.0" customHeight="1">
      <c r="A27" s="1"/>
      <c r="B27" s="119" t="s">
        <v>281</v>
      </c>
      <c r="C27" s="7"/>
      <c r="D27" s="7"/>
      <c r="E27" s="7"/>
      <c r="F27" s="1"/>
      <c r="G27" s="1"/>
    </row>
    <row r="28" ht="15.0" customHeight="1">
      <c r="A28" s="1"/>
      <c r="B28" s="118" t="s">
        <v>282</v>
      </c>
      <c r="C28" s="7"/>
      <c r="D28" s="7"/>
      <c r="E28" s="7"/>
      <c r="F28" s="1"/>
      <c r="G28" s="1"/>
    </row>
    <row r="29" ht="15.0" customHeight="1">
      <c r="A29" s="1"/>
      <c r="B29" s="120" t="s">
        <v>283</v>
      </c>
      <c r="C29" s="7"/>
      <c r="D29" s="7"/>
      <c r="E29" s="7"/>
      <c r="F29" s="1"/>
      <c r="G29" s="1"/>
    </row>
    <row r="30" ht="15.0" customHeight="1">
      <c r="A30" s="1"/>
      <c r="B30" s="120" t="s">
        <v>284</v>
      </c>
      <c r="C30" s="7"/>
      <c r="D30" s="7"/>
      <c r="E30" s="7"/>
      <c r="F30" s="1"/>
      <c r="G30" s="1"/>
    </row>
    <row r="31" ht="15.75" customHeight="1">
      <c r="A31" s="1"/>
      <c r="B31" s="1"/>
      <c r="C31" s="1"/>
      <c r="D31" s="1"/>
      <c r="E31" s="1"/>
      <c r="F31" s="1"/>
      <c r="G31" s="1"/>
    </row>
    <row r="32" ht="15.75" customHeight="1">
      <c r="A32" s="1"/>
      <c r="B32" s="1"/>
      <c r="C32" s="1"/>
      <c r="D32" s="1"/>
      <c r="E32" s="1"/>
      <c r="F32" s="1"/>
      <c r="G32" s="1"/>
    </row>
    <row r="33" ht="15.75" customHeight="1">
      <c r="A33" s="4"/>
      <c r="B33" s="4"/>
      <c r="C33" s="4"/>
      <c r="D33" s="4"/>
      <c r="E33" s="4"/>
    </row>
    <row r="34" ht="15.75" customHeight="1">
      <c r="A34" s="4"/>
      <c r="B34" s="4"/>
      <c r="C34" s="4"/>
      <c r="D34" s="4"/>
      <c r="E34" s="4"/>
    </row>
    <row r="35" ht="15.75" customHeight="1">
      <c r="A35" s="4"/>
      <c r="B35" s="4"/>
      <c r="C35" s="4"/>
      <c r="D35" s="4"/>
      <c r="E35" s="4"/>
    </row>
    <row r="36" ht="15.75" customHeight="1">
      <c r="A36" s="4"/>
      <c r="B36" s="4"/>
      <c r="C36" s="4"/>
      <c r="D36" s="4"/>
      <c r="E36" s="4"/>
    </row>
    <row r="37" ht="15.75" customHeight="1">
      <c r="A37" s="4"/>
      <c r="B37" s="4"/>
      <c r="C37" s="4"/>
      <c r="D37" s="4"/>
      <c r="E37" s="4"/>
    </row>
    <row r="38" ht="15.75" customHeight="1">
      <c r="A38" s="4"/>
      <c r="B38" s="4"/>
      <c r="C38" s="4"/>
      <c r="D38" s="4"/>
      <c r="E38" s="4"/>
    </row>
    <row r="39" ht="15.75" customHeight="1">
      <c r="A39" s="4"/>
      <c r="B39" s="4"/>
      <c r="C39" s="4"/>
      <c r="D39" s="4"/>
      <c r="E39" s="4"/>
    </row>
    <row r="40" ht="15.75" customHeight="1">
      <c r="A40" s="4"/>
      <c r="B40" s="4"/>
      <c r="C40" s="4"/>
      <c r="D40" s="4"/>
      <c r="E40" s="4"/>
    </row>
    <row r="41" ht="15.75" customHeight="1">
      <c r="A41" s="4"/>
      <c r="B41" s="4"/>
      <c r="C41" s="4"/>
      <c r="D41" s="4"/>
      <c r="E41" s="4"/>
    </row>
    <row r="42" ht="15.75" customHeight="1">
      <c r="A42" s="4"/>
      <c r="B42" s="4"/>
      <c r="C42" s="4"/>
      <c r="D42" s="4"/>
      <c r="E42" s="4"/>
    </row>
    <row r="43" ht="15.75" customHeight="1">
      <c r="A43" s="4"/>
      <c r="B43" s="4"/>
      <c r="C43" s="4"/>
      <c r="D43" s="4"/>
      <c r="E43" s="4"/>
    </row>
    <row r="44" ht="15.75" customHeight="1">
      <c r="A44" s="4"/>
      <c r="B44" s="4"/>
      <c r="C44" s="4"/>
      <c r="D44" s="4"/>
      <c r="E44" s="4"/>
    </row>
    <row r="45" ht="15.75" customHeight="1">
      <c r="A45" s="4"/>
      <c r="B45" s="4"/>
      <c r="C45" s="4"/>
      <c r="D45" s="4"/>
      <c r="E45" s="4"/>
    </row>
    <row r="46" ht="15.75" customHeight="1">
      <c r="A46" s="4"/>
      <c r="B46" s="4"/>
      <c r="C46" s="4"/>
      <c r="D46" s="4"/>
      <c r="E46" s="4"/>
    </row>
    <row r="47" ht="15.75" customHeight="1">
      <c r="A47" s="4"/>
      <c r="B47" s="4"/>
      <c r="C47" s="4"/>
      <c r="D47" s="4"/>
      <c r="E47" s="4"/>
    </row>
    <row r="48" ht="15.75" customHeight="1">
      <c r="A48" s="4"/>
      <c r="B48" s="4"/>
      <c r="C48" s="4"/>
      <c r="D48" s="4"/>
      <c r="E48" s="4"/>
    </row>
    <row r="49" ht="15.75" customHeight="1">
      <c r="A49" s="4"/>
      <c r="B49" s="4"/>
      <c r="C49" s="4"/>
      <c r="D49" s="4"/>
      <c r="E49" s="4"/>
    </row>
    <row r="50" ht="15.75" customHeight="1">
      <c r="A50" s="4"/>
      <c r="B50" s="4"/>
      <c r="C50" s="4"/>
      <c r="D50" s="4"/>
      <c r="E50" s="4"/>
    </row>
    <row r="51" ht="15.75" customHeight="1">
      <c r="A51" s="4"/>
      <c r="B51" s="4"/>
      <c r="C51" s="4"/>
      <c r="D51" s="4"/>
      <c r="E51" s="4"/>
    </row>
    <row r="52" ht="15.75" customHeight="1">
      <c r="A52" s="4"/>
      <c r="B52" s="4"/>
      <c r="C52" s="4"/>
      <c r="D52" s="4"/>
      <c r="E52" s="4"/>
    </row>
    <row r="53" ht="15.75" customHeight="1">
      <c r="A53" s="4"/>
      <c r="B53" s="4"/>
      <c r="C53" s="4"/>
      <c r="D53" s="4"/>
      <c r="E53" s="4"/>
    </row>
    <row r="54" ht="15.75" customHeight="1">
      <c r="A54" s="4"/>
      <c r="B54" s="4"/>
      <c r="C54" s="4"/>
      <c r="D54" s="4"/>
      <c r="E54" s="4"/>
    </row>
    <row r="55" ht="15.75" customHeight="1">
      <c r="A55" s="4"/>
      <c r="B55" s="4"/>
      <c r="C55" s="4"/>
      <c r="D55" s="4"/>
      <c r="E55" s="4"/>
    </row>
    <row r="56" ht="15.75" customHeight="1">
      <c r="A56" s="4"/>
      <c r="B56" s="4"/>
      <c r="C56" s="4"/>
      <c r="D56" s="4"/>
      <c r="E56" s="4"/>
    </row>
    <row r="57" ht="15.75" customHeight="1">
      <c r="A57" s="4"/>
      <c r="B57" s="4"/>
      <c r="C57" s="4"/>
      <c r="D57" s="4"/>
      <c r="E57" s="4"/>
    </row>
    <row r="58" ht="15.75" customHeight="1">
      <c r="A58" s="4"/>
      <c r="B58" s="4"/>
      <c r="C58" s="4"/>
      <c r="D58" s="4"/>
      <c r="E58" s="4"/>
    </row>
    <row r="59" ht="15.75" customHeight="1">
      <c r="A59" s="4"/>
      <c r="B59" s="4"/>
      <c r="C59" s="4"/>
      <c r="D59" s="4"/>
      <c r="E59" s="4"/>
    </row>
    <row r="60" ht="15.75" customHeight="1">
      <c r="A60" s="4"/>
      <c r="B60" s="4"/>
      <c r="C60" s="4"/>
      <c r="D60" s="4"/>
      <c r="E60" s="4"/>
    </row>
    <row r="61" ht="15.75" customHeight="1">
      <c r="A61" s="4"/>
      <c r="B61" s="4"/>
      <c r="C61" s="4"/>
      <c r="D61" s="4"/>
      <c r="E61" s="4"/>
    </row>
    <row r="62" ht="15.75" customHeight="1">
      <c r="A62" s="4"/>
      <c r="B62" s="4"/>
      <c r="C62" s="4"/>
      <c r="D62" s="4"/>
      <c r="E62" s="4"/>
    </row>
    <row r="63" ht="15.75" customHeight="1">
      <c r="A63" s="4"/>
      <c r="B63" s="4"/>
      <c r="C63" s="4"/>
      <c r="D63" s="4"/>
      <c r="E63" s="4"/>
    </row>
    <row r="64" ht="15.75" customHeight="1">
      <c r="A64" s="4"/>
      <c r="B64" s="4"/>
      <c r="C64" s="4"/>
      <c r="D64" s="4"/>
      <c r="E64" s="4"/>
    </row>
    <row r="65" ht="15.75" customHeight="1">
      <c r="A65" s="4"/>
      <c r="B65" s="4"/>
      <c r="C65" s="4"/>
      <c r="D65" s="4"/>
      <c r="E65" s="4"/>
    </row>
    <row r="66" ht="15.75" customHeight="1">
      <c r="A66" s="4"/>
      <c r="B66" s="4"/>
      <c r="C66" s="4"/>
      <c r="D66" s="4"/>
      <c r="E66" s="4"/>
    </row>
    <row r="67" ht="15.75" customHeight="1">
      <c r="A67" s="4"/>
      <c r="B67" s="4"/>
      <c r="C67" s="4"/>
      <c r="D67" s="4"/>
      <c r="E67" s="4"/>
    </row>
    <row r="68" ht="15.75" customHeight="1">
      <c r="A68" s="4"/>
      <c r="B68" s="4"/>
      <c r="C68" s="4"/>
      <c r="D68" s="4"/>
      <c r="E68" s="4"/>
    </row>
    <row r="69" ht="15.75" customHeight="1">
      <c r="A69" s="4"/>
      <c r="B69" s="4"/>
      <c r="C69" s="4"/>
      <c r="D69" s="4"/>
      <c r="E69" s="4"/>
    </row>
    <row r="70" ht="15.75" customHeight="1">
      <c r="A70" s="4"/>
      <c r="B70" s="4"/>
      <c r="C70" s="4"/>
      <c r="D70" s="4"/>
      <c r="E70" s="4"/>
    </row>
    <row r="71" ht="15.75" customHeight="1">
      <c r="A71" s="4"/>
      <c r="B71" s="4"/>
      <c r="C71" s="4"/>
      <c r="D71" s="4"/>
      <c r="E71" s="4"/>
    </row>
    <row r="72" ht="15.75" customHeight="1">
      <c r="A72" s="4"/>
      <c r="B72" s="4"/>
      <c r="C72" s="4"/>
      <c r="D72" s="4"/>
      <c r="E72" s="4"/>
    </row>
    <row r="73" ht="15.75" customHeight="1">
      <c r="A73" s="4"/>
      <c r="B73" s="4"/>
      <c r="C73" s="4"/>
      <c r="D73" s="4"/>
      <c r="E73" s="4"/>
    </row>
    <row r="74" ht="15.75" customHeight="1">
      <c r="A74" s="4"/>
      <c r="B74" s="4"/>
      <c r="C74" s="4"/>
      <c r="D74" s="4"/>
      <c r="E74" s="4"/>
    </row>
    <row r="75" ht="15.75" customHeight="1">
      <c r="A75" s="4"/>
      <c r="B75" s="4"/>
      <c r="C75" s="4"/>
      <c r="D75" s="4"/>
      <c r="E75" s="4"/>
    </row>
    <row r="76" ht="15.75" customHeight="1">
      <c r="A76" s="4"/>
      <c r="B76" s="4"/>
      <c r="C76" s="4"/>
      <c r="D76" s="4"/>
      <c r="E76" s="4"/>
    </row>
    <row r="77" ht="15.75" customHeight="1">
      <c r="A77" s="4"/>
      <c r="B77" s="4"/>
      <c r="C77" s="4"/>
      <c r="D77" s="4"/>
      <c r="E77" s="4"/>
    </row>
    <row r="78" ht="15.75" customHeight="1">
      <c r="A78" s="4"/>
      <c r="B78" s="4"/>
      <c r="C78" s="4"/>
      <c r="D78" s="4"/>
      <c r="E78" s="4"/>
    </row>
    <row r="79" ht="15.75" customHeight="1">
      <c r="A79" s="4"/>
      <c r="B79" s="4"/>
      <c r="C79" s="4"/>
      <c r="D79" s="4"/>
      <c r="E79" s="4"/>
    </row>
    <row r="80" ht="15.75" customHeight="1">
      <c r="A80" s="4"/>
      <c r="B80" s="4"/>
      <c r="C80" s="4"/>
      <c r="D80" s="4"/>
      <c r="E80" s="4"/>
    </row>
    <row r="81" ht="15.75" customHeight="1">
      <c r="A81" s="4"/>
      <c r="B81" s="4"/>
      <c r="C81" s="4"/>
      <c r="D81" s="4"/>
      <c r="E81" s="4"/>
    </row>
    <row r="82" ht="15.75" customHeight="1">
      <c r="A82" s="4"/>
      <c r="B82" s="4"/>
      <c r="C82" s="4"/>
      <c r="D82" s="4"/>
      <c r="E82" s="4"/>
    </row>
    <row r="83" ht="15.75" customHeight="1">
      <c r="A83" s="4"/>
      <c r="B83" s="4"/>
      <c r="C83" s="4"/>
      <c r="D83" s="4"/>
      <c r="E83" s="4"/>
    </row>
    <row r="84" ht="15.75" customHeight="1">
      <c r="A84" s="4"/>
      <c r="B84" s="4"/>
      <c r="C84" s="4"/>
      <c r="D84" s="4"/>
      <c r="E84" s="4"/>
    </row>
    <row r="85" ht="15.75" customHeight="1">
      <c r="A85" s="4"/>
      <c r="B85" s="4"/>
      <c r="C85" s="4"/>
      <c r="D85" s="4"/>
      <c r="E85" s="4"/>
    </row>
    <row r="86" ht="15.75" customHeight="1">
      <c r="A86" s="4"/>
      <c r="B86" s="4"/>
      <c r="C86" s="4"/>
      <c r="D86" s="4"/>
      <c r="E86" s="4"/>
    </row>
    <row r="87" ht="15.75" customHeight="1">
      <c r="A87" s="4"/>
      <c r="B87" s="4"/>
      <c r="C87" s="4"/>
      <c r="D87" s="4"/>
      <c r="E87" s="4"/>
    </row>
    <row r="88" ht="15.75" customHeight="1">
      <c r="A88" s="4"/>
      <c r="B88" s="4"/>
      <c r="C88" s="4"/>
      <c r="D88" s="4"/>
      <c r="E88" s="4"/>
    </row>
    <row r="89" ht="15.75" customHeight="1">
      <c r="A89" s="4"/>
      <c r="B89" s="4"/>
      <c r="C89" s="4"/>
      <c r="D89" s="4"/>
      <c r="E89" s="4"/>
    </row>
    <row r="90" ht="15.75" customHeight="1">
      <c r="A90" s="4"/>
      <c r="B90" s="4"/>
      <c r="C90" s="4"/>
      <c r="D90" s="4"/>
      <c r="E90" s="4"/>
    </row>
    <row r="91" ht="15.75" customHeight="1">
      <c r="A91" s="4"/>
      <c r="B91" s="4"/>
      <c r="C91" s="4"/>
      <c r="D91" s="4"/>
      <c r="E91" s="4"/>
    </row>
    <row r="92" ht="15.75" customHeight="1">
      <c r="A92" s="4"/>
      <c r="B92" s="4"/>
      <c r="C92" s="4"/>
      <c r="D92" s="4"/>
      <c r="E92" s="4"/>
    </row>
    <row r="93" ht="15.75" customHeight="1">
      <c r="A93" s="4"/>
      <c r="B93" s="4"/>
      <c r="C93" s="4"/>
      <c r="D93" s="4"/>
      <c r="E93" s="4"/>
    </row>
    <row r="94" ht="15.75" customHeight="1">
      <c r="A94" s="4"/>
      <c r="B94" s="4"/>
      <c r="C94" s="4"/>
      <c r="D94" s="4"/>
      <c r="E94" s="4"/>
    </row>
    <row r="95" ht="15.75" customHeight="1">
      <c r="A95" s="4"/>
      <c r="B95" s="4"/>
      <c r="C95" s="4"/>
      <c r="D95" s="4"/>
      <c r="E95" s="4"/>
    </row>
    <row r="96" ht="15.75" customHeight="1">
      <c r="A96" s="4"/>
      <c r="B96" s="4"/>
      <c r="C96" s="4"/>
      <c r="D96" s="4"/>
      <c r="E96" s="4"/>
    </row>
    <row r="97" ht="15.75" customHeight="1">
      <c r="A97" s="4"/>
      <c r="B97" s="4"/>
      <c r="C97" s="4"/>
      <c r="D97" s="4"/>
      <c r="E97" s="4"/>
    </row>
    <row r="98" ht="15.75" customHeight="1">
      <c r="A98" s="4"/>
      <c r="B98" s="4"/>
      <c r="C98" s="4"/>
      <c r="D98" s="4"/>
      <c r="E98" s="4"/>
    </row>
    <row r="99" ht="15.75" customHeight="1">
      <c r="A99" s="4"/>
      <c r="B99" s="4"/>
      <c r="C99" s="4"/>
      <c r="D99" s="4"/>
      <c r="E99" s="4"/>
    </row>
    <row r="100" ht="15.75" customHeight="1">
      <c r="A100" s="4"/>
      <c r="B100" s="4"/>
      <c r="C100" s="4"/>
      <c r="D100" s="4"/>
      <c r="E100" s="4"/>
    </row>
    <row r="101" ht="15.75" customHeight="1">
      <c r="A101" s="4"/>
      <c r="B101" s="4"/>
      <c r="C101" s="4"/>
      <c r="D101" s="4"/>
      <c r="E101" s="4"/>
    </row>
    <row r="102" ht="15.75" customHeight="1">
      <c r="A102" s="4"/>
      <c r="B102" s="4"/>
      <c r="C102" s="4"/>
      <c r="D102" s="4"/>
      <c r="E102" s="4"/>
    </row>
    <row r="103" ht="15.75" customHeight="1">
      <c r="A103" s="4"/>
      <c r="B103" s="4"/>
      <c r="C103" s="4"/>
      <c r="D103" s="4"/>
      <c r="E103" s="4"/>
    </row>
    <row r="104" ht="15.75" customHeight="1">
      <c r="A104" s="4"/>
      <c r="B104" s="4"/>
      <c r="C104" s="4"/>
      <c r="D104" s="4"/>
      <c r="E104" s="4"/>
    </row>
    <row r="105" ht="15.75" customHeight="1">
      <c r="A105" s="4"/>
      <c r="B105" s="4"/>
      <c r="C105" s="4"/>
      <c r="D105" s="4"/>
      <c r="E105" s="4"/>
    </row>
    <row r="106" ht="15.75" customHeight="1">
      <c r="A106" s="4"/>
      <c r="B106" s="4"/>
      <c r="C106" s="4"/>
      <c r="D106" s="4"/>
      <c r="E106" s="4"/>
    </row>
    <row r="107" ht="15.75" customHeight="1">
      <c r="A107" s="4"/>
      <c r="B107" s="4"/>
      <c r="C107" s="4"/>
      <c r="D107" s="4"/>
      <c r="E107" s="4"/>
    </row>
    <row r="108" ht="15.75" customHeight="1">
      <c r="A108" s="4"/>
      <c r="B108" s="4"/>
      <c r="C108" s="4"/>
      <c r="D108" s="4"/>
      <c r="E108" s="4"/>
    </row>
    <row r="109" ht="15.75" customHeight="1">
      <c r="A109" s="4"/>
      <c r="B109" s="4"/>
      <c r="C109" s="4"/>
      <c r="D109" s="4"/>
      <c r="E109" s="4"/>
    </row>
    <row r="110" ht="15.75" customHeight="1">
      <c r="A110" s="4"/>
      <c r="B110" s="4"/>
      <c r="C110" s="4"/>
      <c r="D110" s="4"/>
      <c r="E110" s="4"/>
    </row>
    <row r="111" ht="15.75" customHeight="1">
      <c r="A111" s="4"/>
      <c r="B111" s="4"/>
      <c r="C111" s="4"/>
      <c r="D111" s="4"/>
      <c r="E111" s="4"/>
    </row>
    <row r="112" ht="15.75" customHeight="1">
      <c r="A112" s="4"/>
      <c r="B112" s="4"/>
      <c r="C112" s="4"/>
      <c r="D112" s="4"/>
      <c r="E112" s="4"/>
    </row>
    <row r="113" ht="15.75" customHeight="1">
      <c r="A113" s="4"/>
      <c r="B113" s="4"/>
      <c r="C113" s="4"/>
      <c r="D113" s="4"/>
      <c r="E113" s="4"/>
    </row>
    <row r="114" ht="15.75" customHeight="1">
      <c r="A114" s="4"/>
      <c r="B114" s="4"/>
      <c r="C114" s="4"/>
      <c r="D114" s="4"/>
      <c r="E114" s="4"/>
    </row>
    <row r="115" ht="15.75" customHeight="1">
      <c r="A115" s="4"/>
      <c r="B115" s="4"/>
      <c r="C115" s="4"/>
      <c r="D115" s="4"/>
      <c r="E115" s="4"/>
    </row>
    <row r="116" ht="15.75" customHeight="1">
      <c r="A116" s="4"/>
      <c r="B116" s="4"/>
      <c r="C116" s="4"/>
      <c r="D116" s="4"/>
      <c r="E116" s="4"/>
    </row>
    <row r="117" ht="15.75" customHeight="1">
      <c r="A117" s="4"/>
      <c r="B117" s="4"/>
      <c r="C117" s="4"/>
      <c r="D117" s="4"/>
      <c r="E117" s="4"/>
    </row>
    <row r="118" ht="15.75" customHeight="1">
      <c r="A118" s="4"/>
      <c r="B118" s="4"/>
      <c r="C118" s="4"/>
      <c r="D118" s="4"/>
      <c r="E118" s="4"/>
    </row>
    <row r="119" ht="15.75" customHeight="1">
      <c r="A119" s="4"/>
      <c r="B119" s="4"/>
      <c r="C119" s="4"/>
      <c r="D119" s="4"/>
      <c r="E119" s="4"/>
    </row>
    <row r="120" ht="15.75" customHeight="1">
      <c r="A120" s="4"/>
      <c r="B120" s="4"/>
      <c r="C120" s="4"/>
      <c r="D120" s="4"/>
      <c r="E120" s="4"/>
    </row>
    <row r="121" ht="15.75" customHeight="1">
      <c r="A121" s="4"/>
      <c r="B121" s="4"/>
      <c r="C121" s="4"/>
      <c r="D121" s="4"/>
      <c r="E121" s="4"/>
    </row>
    <row r="122" ht="15.75" customHeight="1">
      <c r="A122" s="4"/>
      <c r="B122" s="4"/>
      <c r="C122" s="4"/>
      <c r="D122" s="4"/>
      <c r="E122" s="4"/>
    </row>
    <row r="123" ht="15.75" customHeight="1">
      <c r="A123" s="4"/>
      <c r="B123" s="4"/>
      <c r="C123" s="4"/>
      <c r="D123" s="4"/>
      <c r="E123" s="4"/>
    </row>
    <row r="124" ht="15.75" customHeight="1">
      <c r="A124" s="4"/>
      <c r="B124" s="4"/>
      <c r="C124" s="4"/>
      <c r="D124" s="4"/>
      <c r="E124" s="4"/>
    </row>
    <row r="125" ht="15.75" customHeight="1">
      <c r="A125" s="4"/>
      <c r="B125" s="4"/>
      <c r="C125" s="4"/>
      <c r="D125" s="4"/>
      <c r="E125" s="4"/>
    </row>
    <row r="126" ht="15.75" customHeight="1">
      <c r="A126" s="4"/>
      <c r="B126" s="4"/>
      <c r="C126" s="4"/>
      <c r="D126" s="4"/>
      <c r="E126" s="4"/>
    </row>
    <row r="127" ht="15.75" customHeight="1">
      <c r="A127" s="4"/>
      <c r="B127" s="4"/>
      <c r="C127" s="4"/>
      <c r="D127" s="4"/>
      <c r="E127" s="4"/>
    </row>
    <row r="128" ht="15.75" customHeight="1">
      <c r="A128" s="4"/>
      <c r="B128" s="4"/>
      <c r="C128" s="4"/>
      <c r="D128" s="4"/>
      <c r="E128" s="4"/>
    </row>
    <row r="129" ht="15.75" customHeight="1">
      <c r="A129" s="4"/>
      <c r="B129" s="4"/>
      <c r="C129" s="4"/>
      <c r="D129" s="4"/>
      <c r="E129" s="4"/>
    </row>
    <row r="130" ht="15.75" customHeight="1">
      <c r="A130" s="4"/>
      <c r="B130" s="4"/>
      <c r="C130" s="4"/>
      <c r="D130" s="4"/>
      <c r="E130" s="4"/>
    </row>
    <row r="131" ht="15.75" customHeight="1">
      <c r="A131" s="4"/>
      <c r="B131" s="4"/>
      <c r="C131" s="4"/>
      <c r="D131" s="4"/>
      <c r="E131" s="4"/>
    </row>
    <row r="132" ht="15.75" customHeight="1">
      <c r="A132" s="4"/>
      <c r="B132" s="4"/>
      <c r="C132" s="4"/>
      <c r="D132" s="4"/>
      <c r="E132" s="4"/>
    </row>
    <row r="133" ht="15.75" customHeight="1">
      <c r="A133" s="4"/>
      <c r="B133" s="4"/>
      <c r="C133" s="4"/>
      <c r="D133" s="4"/>
      <c r="E133" s="4"/>
    </row>
    <row r="134" ht="15.75" customHeight="1">
      <c r="A134" s="4"/>
      <c r="B134" s="4"/>
      <c r="C134" s="4"/>
      <c r="D134" s="4"/>
      <c r="E134" s="4"/>
    </row>
    <row r="135" ht="15.75" customHeight="1">
      <c r="A135" s="4"/>
      <c r="B135" s="4"/>
      <c r="C135" s="4"/>
      <c r="D135" s="4"/>
      <c r="E135" s="4"/>
    </row>
    <row r="136" ht="15.75" customHeight="1">
      <c r="A136" s="4"/>
      <c r="B136" s="4"/>
      <c r="C136" s="4"/>
      <c r="D136" s="4"/>
      <c r="E136" s="4"/>
    </row>
    <row r="137" ht="15.75" customHeight="1">
      <c r="A137" s="4"/>
      <c r="B137" s="4"/>
      <c r="C137" s="4"/>
      <c r="D137" s="4"/>
      <c r="E137" s="4"/>
    </row>
    <row r="138" ht="15.75" customHeight="1">
      <c r="A138" s="4"/>
      <c r="B138" s="4"/>
      <c r="C138" s="4"/>
      <c r="D138" s="4"/>
      <c r="E138" s="4"/>
    </row>
    <row r="139" ht="15.75" customHeight="1">
      <c r="A139" s="4"/>
      <c r="B139" s="4"/>
      <c r="C139" s="4"/>
      <c r="D139" s="4"/>
      <c r="E139" s="4"/>
    </row>
    <row r="140" ht="15.75" customHeight="1">
      <c r="A140" s="4"/>
      <c r="B140" s="4"/>
      <c r="C140" s="4"/>
      <c r="D140" s="4"/>
      <c r="E140" s="4"/>
    </row>
    <row r="141" ht="15.75" customHeight="1">
      <c r="A141" s="4"/>
      <c r="B141" s="4"/>
      <c r="C141" s="4"/>
      <c r="D141" s="4"/>
      <c r="E141" s="4"/>
    </row>
    <row r="142" ht="15.75" customHeight="1">
      <c r="A142" s="4"/>
      <c r="B142" s="4"/>
      <c r="C142" s="4"/>
      <c r="D142" s="4"/>
      <c r="E142" s="4"/>
    </row>
    <row r="143" ht="15.75" customHeight="1">
      <c r="A143" s="4"/>
      <c r="B143" s="4"/>
      <c r="C143" s="4"/>
      <c r="D143" s="4"/>
      <c r="E143" s="4"/>
    </row>
    <row r="144" ht="15.75" customHeight="1">
      <c r="A144" s="4"/>
      <c r="B144" s="4"/>
      <c r="C144" s="4"/>
      <c r="D144" s="4"/>
      <c r="E144" s="4"/>
    </row>
    <row r="145" ht="15.75" customHeight="1">
      <c r="A145" s="4"/>
      <c r="B145" s="4"/>
      <c r="C145" s="4"/>
      <c r="D145" s="4"/>
      <c r="E145" s="4"/>
    </row>
    <row r="146" ht="15.75" customHeight="1">
      <c r="A146" s="4"/>
      <c r="B146" s="4"/>
      <c r="C146" s="4"/>
      <c r="D146" s="4"/>
      <c r="E146" s="4"/>
    </row>
    <row r="147" ht="15.75" customHeight="1">
      <c r="A147" s="4"/>
      <c r="B147" s="4"/>
      <c r="C147" s="4"/>
      <c r="D147" s="4"/>
      <c r="E147" s="4"/>
    </row>
    <row r="148" ht="15.75" customHeight="1">
      <c r="A148" s="4"/>
      <c r="B148" s="4"/>
      <c r="C148" s="4"/>
      <c r="D148" s="4"/>
      <c r="E148" s="4"/>
    </row>
    <row r="149" ht="15.75" customHeight="1">
      <c r="A149" s="4"/>
      <c r="B149" s="4"/>
      <c r="C149" s="4"/>
      <c r="D149" s="4"/>
      <c r="E149" s="4"/>
    </row>
    <row r="150" ht="15.75" customHeight="1">
      <c r="A150" s="4"/>
      <c r="B150" s="4"/>
      <c r="C150" s="4"/>
      <c r="D150" s="4"/>
      <c r="E150" s="4"/>
    </row>
    <row r="151" ht="15.75" customHeight="1">
      <c r="A151" s="4"/>
      <c r="B151" s="4"/>
      <c r="C151" s="4"/>
      <c r="D151" s="4"/>
      <c r="E151" s="4"/>
    </row>
    <row r="152" ht="15.75" customHeight="1">
      <c r="A152" s="4"/>
      <c r="B152" s="4"/>
      <c r="C152" s="4"/>
      <c r="D152" s="4"/>
      <c r="E152" s="4"/>
    </row>
    <row r="153" ht="15.75" customHeight="1">
      <c r="A153" s="4"/>
      <c r="B153" s="4"/>
      <c r="C153" s="4"/>
      <c r="D153" s="4"/>
      <c r="E153" s="4"/>
    </row>
    <row r="154" ht="15.75" customHeight="1">
      <c r="A154" s="4"/>
      <c r="B154" s="4"/>
      <c r="C154" s="4"/>
      <c r="D154" s="4"/>
      <c r="E154" s="4"/>
    </row>
    <row r="155" ht="15.75" customHeight="1">
      <c r="A155" s="4"/>
      <c r="B155" s="4"/>
      <c r="C155" s="4"/>
      <c r="D155" s="4"/>
      <c r="E155" s="4"/>
    </row>
    <row r="156" ht="15.75" customHeight="1">
      <c r="A156" s="4"/>
      <c r="B156" s="4"/>
      <c r="C156" s="4"/>
      <c r="D156" s="4"/>
      <c r="E156" s="4"/>
    </row>
    <row r="157" ht="15.75" customHeight="1">
      <c r="A157" s="4"/>
      <c r="B157" s="4"/>
      <c r="C157" s="4"/>
      <c r="D157" s="4"/>
      <c r="E157" s="4"/>
    </row>
    <row r="158" ht="15.75" customHeight="1">
      <c r="A158" s="4"/>
      <c r="B158" s="4"/>
      <c r="C158" s="4"/>
      <c r="D158" s="4"/>
      <c r="E158" s="4"/>
    </row>
    <row r="159" ht="15.75" customHeight="1">
      <c r="A159" s="4"/>
      <c r="B159" s="4"/>
      <c r="C159" s="4"/>
      <c r="D159" s="4"/>
      <c r="E159" s="4"/>
    </row>
    <row r="160" ht="15.75" customHeight="1">
      <c r="A160" s="4"/>
      <c r="B160" s="4"/>
      <c r="C160" s="4"/>
      <c r="D160" s="4"/>
      <c r="E160" s="4"/>
    </row>
    <row r="161" ht="15.75" customHeight="1">
      <c r="A161" s="4"/>
      <c r="B161" s="4"/>
      <c r="C161" s="4"/>
      <c r="D161" s="4"/>
      <c r="E161" s="4"/>
    </row>
    <row r="162" ht="15.75" customHeight="1">
      <c r="A162" s="4"/>
      <c r="B162" s="4"/>
      <c r="C162" s="4"/>
      <c r="D162" s="4"/>
      <c r="E162" s="4"/>
    </row>
    <row r="163" ht="15.75" customHeight="1">
      <c r="A163" s="4"/>
      <c r="B163" s="4"/>
      <c r="C163" s="4"/>
      <c r="D163" s="4"/>
      <c r="E163" s="4"/>
    </row>
    <row r="164" ht="15.75" customHeight="1">
      <c r="A164" s="4"/>
      <c r="B164" s="4"/>
      <c r="C164" s="4"/>
      <c r="D164" s="4"/>
      <c r="E164" s="4"/>
    </row>
    <row r="165" ht="15.75" customHeight="1">
      <c r="A165" s="4"/>
      <c r="B165" s="4"/>
      <c r="C165" s="4"/>
      <c r="D165" s="4"/>
      <c r="E165" s="4"/>
    </row>
    <row r="166" ht="15.75" customHeight="1">
      <c r="A166" s="4"/>
      <c r="B166" s="4"/>
      <c r="C166" s="4"/>
      <c r="D166" s="4"/>
      <c r="E166" s="4"/>
    </row>
    <row r="167" ht="15.75" customHeight="1">
      <c r="A167" s="4"/>
      <c r="B167" s="4"/>
      <c r="C167" s="4"/>
      <c r="D167" s="4"/>
      <c r="E167" s="4"/>
    </row>
    <row r="168" ht="15.75" customHeight="1">
      <c r="A168" s="4"/>
      <c r="B168" s="4"/>
      <c r="C168" s="4"/>
      <c r="D168" s="4"/>
      <c r="E168" s="4"/>
    </row>
    <row r="169" ht="15.75" customHeight="1">
      <c r="A169" s="4"/>
      <c r="B169" s="4"/>
      <c r="C169" s="4"/>
      <c r="D169" s="4"/>
      <c r="E169" s="4"/>
    </row>
    <row r="170" ht="15.75" customHeight="1">
      <c r="A170" s="4"/>
      <c r="B170" s="4"/>
      <c r="C170" s="4"/>
      <c r="D170" s="4"/>
      <c r="E170" s="4"/>
    </row>
    <row r="171" ht="15.75" customHeight="1">
      <c r="A171" s="4"/>
      <c r="B171" s="4"/>
      <c r="C171" s="4"/>
      <c r="D171" s="4"/>
      <c r="E171" s="4"/>
    </row>
    <row r="172" ht="15.75" customHeight="1">
      <c r="A172" s="4"/>
      <c r="B172" s="4"/>
      <c r="C172" s="4"/>
      <c r="D172" s="4"/>
      <c r="E172" s="4"/>
    </row>
    <row r="173" ht="15.75" customHeight="1">
      <c r="A173" s="4"/>
      <c r="B173" s="4"/>
      <c r="C173" s="4"/>
      <c r="D173" s="4"/>
      <c r="E173" s="4"/>
    </row>
    <row r="174" ht="15.75" customHeight="1">
      <c r="A174" s="4"/>
      <c r="B174" s="4"/>
      <c r="C174" s="4"/>
      <c r="D174" s="4"/>
      <c r="E174" s="4"/>
    </row>
    <row r="175" ht="15.75" customHeight="1">
      <c r="A175" s="4"/>
      <c r="B175" s="4"/>
      <c r="C175" s="4"/>
      <c r="D175" s="4"/>
      <c r="E175" s="4"/>
    </row>
    <row r="176" ht="15.75" customHeight="1">
      <c r="A176" s="4"/>
      <c r="B176" s="4"/>
      <c r="C176" s="4"/>
      <c r="D176" s="4"/>
      <c r="E176" s="4"/>
    </row>
    <row r="177" ht="15.75" customHeight="1">
      <c r="A177" s="4"/>
      <c r="B177" s="4"/>
      <c r="C177" s="4"/>
      <c r="D177" s="4"/>
      <c r="E177" s="4"/>
    </row>
    <row r="178" ht="15.75" customHeight="1">
      <c r="A178" s="4"/>
      <c r="B178" s="4"/>
      <c r="C178" s="4"/>
      <c r="D178" s="4"/>
      <c r="E178" s="4"/>
    </row>
    <row r="179" ht="15.75" customHeight="1">
      <c r="A179" s="4"/>
      <c r="B179" s="4"/>
      <c r="C179" s="4"/>
      <c r="D179" s="4"/>
      <c r="E179" s="4"/>
    </row>
    <row r="180" ht="15.75" customHeight="1">
      <c r="A180" s="4"/>
      <c r="B180" s="4"/>
      <c r="C180" s="4"/>
      <c r="D180" s="4"/>
      <c r="E180" s="4"/>
    </row>
    <row r="181" ht="15.75" customHeight="1">
      <c r="A181" s="4"/>
      <c r="B181" s="4"/>
      <c r="C181" s="4"/>
      <c r="D181" s="4"/>
      <c r="E181" s="4"/>
    </row>
    <row r="182" ht="15.75" customHeight="1">
      <c r="A182" s="4"/>
      <c r="B182" s="4"/>
      <c r="C182" s="4"/>
      <c r="D182" s="4"/>
      <c r="E182" s="4"/>
    </row>
    <row r="183" ht="15.75" customHeight="1">
      <c r="A183" s="4"/>
      <c r="B183" s="4"/>
      <c r="C183" s="4"/>
      <c r="D183" s="4"/>
      <c r="E183" s="4"/>
    </row>
    <row r="184" ht="15.75" customHeight="1">
      <c r="A184" s="4"/>
      <c r="B184" s="4"/>
      <c r="C184" s="4"/>
      <c r="D184" s="4"/>
      <c r="E184" s="4"/>
    </row>
    <row r="185" ht="15.75" customHeight="1">
      <c r="A185" s="4"/>
      <c r="B185" s="4"/>
      <c r="C185" s="4"/>
      <c r="D185" s="4"/>
      <c r="E185" s="4"/>
    </row>
    <row r="186" ht="15.75" customHeight="1">
      <c r="A186" s="4"/>
      <c r="B186" s="4"/>
      <c r="C186" s="4"/>
      <c r="D186" s="4"/>
      <c r="E186" s="4"/>
    </row>
    <row r="187" ht="15.75" customHeight="1">
      <c r="A187" s="4"/>
      <c r="B187" s="4"/>
      <c r="C187" s="4"/>
      <c r="D187" s="4"/>
      <c r="E187" s="4"/>
    </row>
    <row r="188" ht="15.75" customHeight="1">
      <c r="A188" s="4"/>
      <c r="B188" s="4"/>
      <c r="C188" s="4"/>
      <c r="D188" s="4"/>
      <c r="E188" s="4"/>
    </row>
    <row r="189" ht="15.75" customHeight="1">
      <c r="A189" s="4"/>
      <c r="B189" s="4"/>
      <c r="C189" s="4"/>
      <c r="D189" s="4"/>
      <c r="E189" s="4"/>
    </row>
    <row r="190" ht="15.75" customHeight="1">
      <c r="A190" s="4"/>
      <c r="B190" s="4"/>
      <c r="C190" s="4"/>
      <c r="D190" s="4"/>
      <c r="E190" s="4"/>
    </row>
    <row r="191" ht="15.75" customHeight="1">
      <c r="A191" s="4"/>
      <c r="B191" s="4"/>
      <c r="C191" s="4"/>
      <c r="D191" s="4"/>
      <c r="E191" s="4"/>
    </row>
    <row r="192" ht="15.75" customHeight="1">
      <c r="A192" s="4"/>
      <c r="B192" s="4"/>
      <c r="C192" s="4"/>
      <c r="D192" s="4"/>
      <c r="E192" s="4"/>
    </row>
    <row r="193" ht="15.75" customHeight="1">
      <c r="A193" s="4"/>
      <c r="B193" s="4"/>
      <c r="C193" s="4"/>
      <c r="D193" s="4"/>
      <c r="E193" s="4"/>
    </row>
    <row r="194" ht="15.75" customHeight="1">
      <c r="A194" s="4"/>
      <c r="B194" s="4"/>
      <c r="C194" s="4"/>
      <c r="D194" s="4"/>
      <c r="E194" s="4"/>
    </row>
    <row r="195" ht="15.75" customHeight="1">
      <c r="A195" s="4"/>
      <c r="B195" s="4"/>
      <c r="C195" s="4"/>
      <c r="D195" s="4"/>
      <c r="E195" s="4"/>
    </row>
    <row r="196" ht="15.75" customHeight="1">
      <c r="A196" s="4"/>
      <c r="B196" s="4"/>
      <c r="C196" s="4"/>
      <c r="D196" s="4"/>
      <c r="E196" s="4"/>
    </row>
    <row r="197" ht="15.75" customHeight="1">
      <c r="A197" s="4"/>
      <c r="B197" s="4"/>
      <c r="C197" s="4"/>
      <c r="D197" s="4"/>
      <c r="E197" s="4"/>
    </row>
    <row r="198" ht="15.75" customHeight="1">
      <c r="A198" s="4"/>
      <c r="B198" s="4"/>
      <c r="C198" s="4"/>
      <c r="D198" s="4"/>
      <c r="E198" s="4"/>
    </row>
    <row r="199" ht="15.75" customHeight="1">
      <c r="A199" s="4"/>
      <c r="B199" s="4"/>
      <c r="C199" s="4"/>
      <c r="D199" s="4"/>
      <c r="E199" s="4"/>
    </row>
    <row r="200" ht="15.75" customHeight="1">
      <c r="A200" s="4"/>
      <c r="B200" s="4"/>
      <c r="C200" s="4"/>
      <c r="D200" s="4"/>
      <c r="E200" s="4"/>
    </row>
    <row r="201" ht="15.75" customHeight="1">
      <c r="A201" s="4"/>
      <c r="B201" s="4"/>
      <c r="C201" s="4"/>
      <c r="D201" s="4"/>
      <c r="E201" s="4"/>
    </row>
    <row r="202" ht="15.75" customHeight="1">
      <c r="A202" s="4"/>
      <c r="B202" s="4"/>
      <c r="C202" s="4"/>
      <c r="D202" s="4"/>
      <c r="E202" s="4"/>
    </row>
    <row r="203" ht="15.75" customHeight="1">
      <c r="A203" s="4"/>
      <c r="B203" s="4"/>
      <c r="C203" s="4"/>
      <c r="D203" s="4"/>
      <c r="E203" s="4"/>
    </row>
    <row r="204" ht="15.75" customHeight="1">
      <c r="A204" s="4"/>
      <c r="B204" s="4"/>
      <c r="C204" s="4"/>
      <c r="D204" s="4"/>
      <c r="E204" s="4"/>
    </row>
    <row r="205" ht="15.75" customHeight="1">
      <c r="A205" s="4"/>
      <c r="B205" s="4"/>
      <c r="C205" s="4"/>
      <c r="D205" s="4"/>
      <c r="E205" s="4"/>
    </row>
    <row r="206" ht="15.75" customHeight="1">
      <c r="A206" s="4"/>
      <c r="B206" s="4"/>
      <c r="C206" s="4"/>
      <c r="D206" s="4"/>
      <c r="E206" s="4"/>
    </row>
    <row r="207" ht="15.75" customHeight="1">
      <c r="A207" s="4"/>
      <c r="B207" s="4"/>
      <c r="C207" s="4"/>
      <c r="D207" s="4"/>
      <c r="E207" s="4"/>
    </row>
    <row r="208" ht="15.75" customHeight="1">
      <c r="A208" s="4"/>
      <c r="B208" s="4"/>
      <c r="C208" s="4"/>
      <c r="D208" s="4"/>
      <c r="E208" s="4"/>
    </row>
    <row r="209" ht="15.75" customHeight="1">
      <c r="A209" s="4"/>
      <c r="B209" s="4"/>
      <c r="C209" s="4"/>
      <c r="D209" s="4"/>
      <c r="E209" s="4"/>
    </row>
    <row r="210" ht="15.75" customHeight="1">
      <c r="A210" s="4"/>
      <c r="B210" s="4"/>
      <c r="C210" s="4"/>
      <c r="D210" s="4"/>
      <c r="E210" s="4"/>
    </row>
    <row r="211" ht="15.75" customHeight="1">
      <c r="A211" s="4"/>
      <c r="B211" s="4"/>
      <c r="C211" s="4"/>
      <c r="D211" s="4"/>
      <c r="E211" s="4"/>
    </row>
    <row r="212" ht="15.75" customHeight="1">
      <c r="A212" s="4"/>
      <c r="B212" s="4"/>
      <c r="C212" s="4"/>
      <c r="D212" s="4"/>
      <c r="E212" s="4"/>
    </row>
    <row r="213" ht="15.75" customHeight="1">
      <c r="A213" s="4"/>
      <c r="B213" s="4"/>
      <c r="C213" s="4"/>
      <c r="D213" s="4"/>
      <c r="E213" s="4"/>
    </row>
    <row r="214" ht="15.75" customHeight="1">
      <c r="A214" s="4"/>
      <c r="B214" s="4"/>
      <c r="C214" s="4"/>
      <c r="D214" s="4"/>
      <c r="E214" s="4"/>
    </row>
    <row r="215" ht="15.75" customHeight="1">
      <c r="A215" s="4"/>
      <c r="B215" s="4"/>
      <c r="C215" s="4"/>
      <c r="D215" s="4"/>
      <c r="E215" s="4"/>
    </row>
    <row r="216" ht="15.75" customHeight="1">
      <c r="A216" s="4"/>
      <c r="B216" s="4"/>
      <c r="C216" s="4"/>
      <c r="D216" s="4"/>
      <c r="E216" s="4"/>
    </row>
    <row r="217" ht="15.75" customHeight="1">
      <c r="A217" s="4"/>
      <c r="B217" s="4"/>
      <c r="C217" s="4"/>
      <c r="D217" s="4"/>
      <c r="E217" s="4"/>
    </row>
    <row r="218" ht="15.75" customHeight="1">
      <c r="A218" s="4"/>
      <c r="B218" s="4"/>
      <c r="C218" s="4"/>
      <c r="D218" s="4"/>
      <c r="E218" s="4"/>
    </row>
    <row r="219" ht="15.75" customHeight="1">
      <c r="A219" s="4"/>
      <c r="B219" s="4"/>
      <c r="C219" s="4"/>
      <c r="D219" s="4"/>
      <c r="E219" s="4"/>
    </row>
    <row r="220" ht="15.75" customHeight="1">
      <c r="A220" s="4"/>
      <c r="B220" s="4"/>
      <c r="C220" s="4"/>
      <c r="D220" s="4"/>
      <c r="E220" s="4"/>
    </row>
    <row r="221" ht="15.75" customHeight="1">
      <c r="A221" s="4"/>
      <c r="B221" s="4"/>
      <c r="C221" s="4"/>
      <c r="D221" s="4"/>
      <c r="E221" s="4"/>
    </row>
    <row r="222" ht="15.75" customHeight="1">
      <c r="A222" s="4"/>
      <c r="B222" s="4"/>
      <c r="C222" s="4"/>
      <c r="D222" s="4"/>
      <c r="E222" s="4"/>
    </row>
    <row r="223" ht="15.75" customHeight="1">
      <c r="A223" s="4"/>
      <c r="B223" s="4"/>
      <c r="C223" s="4"/>
      <c r="D223" s="4"/>
      <c r="E223" s="4"/>
    </row>
    <row r="224" ht="15.75" customHeight="1">
      <c r="A224" s="4"/>
      <c r="B224" s="4"/>
      <c r="C224" s="4"/>
      <c r="D224" s="4"/>
      <c r="E224" s="4"/>
    </row>
    <row r="225" ht="15.75" customHeight="1">
      <c r="A225" s="4"/>
      <c r="B225" s="4"/>
      <c r="C225" s="4"/>
      <c r="D225" s="4"/>
      <c r="E225" s="4"/>
    </row>
    <row r="226" ht="15.75" customHeight="1">
      <c r="A226" s="4"/>
      <c r="B226" s="4"/>
      <c r="C226" s="4"/>
      <c r="D226" s="4"/>
      <c r="E226" s="4"/>
    </row>
    <row r="227" ht="15.75" customHeight="1">
      <c r="A227" s="4"/>
      <c r="B227" s="4"/>
      <c r="C227" s="4"/>
      <c r="D227" s="4"/>
      <c r="E227" s="4"/>
    </row>
    <row r="228" ht="15.75" customHeight="1">
      <c r="A228" s="4"/>
      <c r="B228" s="4"/>
      <c r="C228" s="4"/>
      <c r="D228" s="4"/>
      <c r="E228" s="4"/>
    </row>
    <row r="229" ht="15.75" customHeight="1">
      <c r="A229" s="4"/>
      <c r="B229" s="4"/>
      <c r="C229" s="4"/>
      <c r="D229" s="4"/>
      <c r="E229" s="4"/>
    </row>
    <row r="230" ht="15.75" customHeight="1">
      <c r="A230" s="4"/>
      <c r="B230" s="4"/>
      <c r="C230" s="4"/>
      <c r="D230" s="4"/>
      <c r="E230" s="4"/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B26:E26"/>
    <mergeCell ref="B27:E27"/>
    <mergeCell ref="B28:E28"/>
    <mergeCell ref="B29:E29"/>
    <mergeCell ref="B30:E30"/>
    <mergeCell ref="B1:E2"/>
    <mergeCell ref="B20:E20"/>
    <mergeCell ref="B21:E21"/>
    <mergeCell ref="B22:E22"/>
    <mergeCell ref="B23:E23"/>
    <mergeCell ref="B24:E24"/>
    <mergeCell ref="B25:E25"/>
  </mergeCells>
  <printOptions/>
  <pageMargins bottom="1.0" footer="0.0" header="0.0" left="0.75" right="0.75" top="1.0"/>
  <pageSetup paperSize="9" orientation="portrait"/>
  <drawing r:id="rId1"/>
</worksheet>
</file>