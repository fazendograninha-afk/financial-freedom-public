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Janeiro" sheetId="2" state="visible" r:id="rId4"/>
    <sheet name="Fevereiro" sheetId="3" state="visible" r:id="rId5"/>
    <sheet name="Março" sheetId="4" state="visible" r:id="rId6"/>
    <sheet name="Abril" sheetId="5" state="visible" r:id="rId7"/>
    <sheet name="Maio" sheetId="6" state="visible" r:id="rId8"/>
    <sheet name="Junho" sheetId="7" state="visible" r:id="rId9"/>
    <sheet name="Julho" sheetId="8" state="visible" r:id="rId10"/>
    <sheet name="Agosto" sheetId="9" state="visible" r:id="rId11"/>
    <sheet name="Setembro" sheetId="10" state="visible" r:id="rId12"/>
    <sheet name="Outubro" sheetId="11" state="visible" r:id="rId13"/>
    <sheet name="Novembro" sheetId="12" state="visible" r:id="rId14"/>
    <sheet name="Dezembro" sheetId="13" state="visible" r:id="rId15"/>
    <sheet name="🎯 Metas" sheetId="14" state="visible" r:id="rId16"/>
    <sheet name="📈 Análise Anual" sheetId="15" state="visible" r:id="rId17"/>
    <sheet name="📚 Guia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<sst xmlns="http://schemas.openxmlformats.org/spreadsheetml/2006/main" count="1058" uniqueCount="284">
  <si>
    <t xml:space="preserve">💰 CONTROLE FINANCEIRO CLT — by MaicknucleaR</t>
  </si>
  <si>
    <t xml:space="preserve">Ferramenta de gestão financeira pessoal | Atualizado: 08/03/2026</t>
  </si>
  <si>
    <t xml:space="preserve">📅 MÊS DE REFERÊNCIA</t>
  </si>
  <si>
    <t xml:space="preserve">Selecione o mês:</t>
  </si>
  <si>
    <t xml:space="preserve">Janeiro</t>
  </si>
  <si>
    <t xml:space="preserve">← Altere aqui</t>
  </si>
  <si>
    <t xml:space="preserve">💵 RECEITA TOTAL</t>
  </si>
  <si>
    <t xml:space="preserve">💸 DESPESA TOTAL</t>
  </si>
  <si>
    <t xml:space="preserve">💎 SALDO LÍQUIDO</t>
  </si>
  <si>
    <t xml:space="preserve">Entrada do mês</t>
  </si>
  <si>
    <t xml:space="preserve">Saída do mês</t>
  </si>
  <si>
    <t xml:space="preserve">Receita - Despesa</t>
  </si>
  <si>
    <t xml:space="preserve">📈 INVESTIDO</t>
  </si>
  <si>
    <t xml:space="preserve">⚠️ DÍVIDAS</t>
  </si>
  <si>
    <t xml:space="preserve">🏆 META POUPANÇA</t>
  </si>
  <si>
    <t xml:space="preserve">Total investido</t>
  </si>
  <si>
    <t xml:space="preserve">Pendências</t>
  </si>
  <si>
    <t xml:space="preserve">Meta mensal (edite)</t>
  </si>
  <si>
    <t xml:space="preserve">📊 RESUMO POR CATEGORIA — Janeiro</t>
  </si>
  <si>
    <t xml:space="preserve">Categoria</t>
  </si>
  <si>
    <t xml:space="preserve">Tipo</t>
  </si>
  <si>
    <t xml:space="preserve">Planejado (R$)</t>
  </si>
  <si>
    <t xml:space="preserve">Realizado (R$)</t>
  </si>
  <si>
    <t xml:space="preserve">Diferença (R$)</t>
  </si>
  <si>
    <t xml:space="preserve">% do Total</t>
  </si>
  <si>
    <t xml:space="preserve">Status</t>
  </si>
  <si>
    <t xml:space="preserve">🏠 Moradia</t>
  </si>
  <si>
    <t xml:space="preserve">Fixo</t>
  </si>
  <si>
    <t xml:space="preserve">💡 Utilidades</t>
  </si>
  <si>
    <t xml:space="preserve">🚗 Transporte</t>
  </si>
  <si>
    <t xml:space="preserve">🍽️ Alimentação</t>
  </si>
  <si>
    <t xml:space="preserve">Variável</t>
  </si>
  <si>
    <t xml:space="preserve">💊 Saúde</t>
  </si>
  <si>
    <t xml:space="preserve">📚 Educação</t>
  </si>
  <si>
    <t xml:space="preserve">👗 Vestuário</t>
  </si>
  <si>
    <t xml:space="preserve">Supérfluo</t>
  </si>
  <si>
    <t xml:space="preserve">🎮 Lazer</t>
  </si>
  <si>
    <t xml:space="preserve">💳 Dívidas</t>
  </si>
  <si>
    <t xml:space="preserve">💰 Investimentos</t>
  </si>
  <si>
    <t xml:space="preserve">Meta</t>
  </si>
  <si>
    <t xml:space="preserve">🎁 Outros Fixos</t>
  </si>
  <si>
    <t xml:space="preserve">✨ Outros Variáveis</t>
  </si>
  <si>
    <t xml:space="preserve">TOTAL</t>
  </si>
  <si>
    <t xml:space="preserve">💡 REGRA 50-30-20 — Distribuição Ideal do Salário</t>
  </si>
  <si>
    <t xml:space="preserve">50% — Necessidades</t>
  </si>
  <si>
    <t xml:space="preserve">Moradia, alimentação, transporte, saúde</t>
  </si>
  <si>
    <t xml:space="preserve">30% — Desejos</t>
  </si>
  <si>
    <t xml:space="preserve">Lazer, vestuário, restaurantes, hobbies</t>
  </si>
  <si>
    <t xml:space="preserve">20% — Investimentos</t>
  </si>
  <si>
    <t xml:space="preserve">Poupança, ações, previdência privada</t>
  </si>
  <si>
    <t xml:space="preserve">📋 REGISTRO DE TRANSAÇÕES — JANEIRO</t>
  </si>
  <si>
    <t xml:space="preserve">TOTAL RECEITAS</t>
  </si>
  <si>
    <t xml:space="preserve">TOTAL DESPESAS</t>
  </si>
  <si>
    <t xml:space="preserve">SALDO DO MÊS</t>
  </si>
  <si>
    <t xml:space="preserve">Data</t>
  </si>
  <si>
    <t xml:space="preserve">Descrição</t>
  </si>
  <si>
    <t xml:space="preserve">Valor (R$)</t>
  </si>
  <si>
    <t xml:space="preserve">Pagamento</t>
  </si>
  <si>
    <t xml:space="preserve">Observações</t>
  </si>
  <si>
    <t xml:space="preserve">01/01/2025</t>
  </si>
  <si>
    <t xml:space="preserve">Salário CLT</t>
  </si>
  <si>
    <t xml:space="preserve">Receita</t>
  </si>
  <si>
    <t xml:space="preserve">💵 Renda</t>
  </si>
  <si>
    <t xml:space="preserve">✅ Recebido</t>
  </si>
  <si>
    <t xml:space="preserve">PIX</t>
  </si>
  <si>
    <t xml:space="preserve">Salário mensal</t>
  </si>
  <si>
    <t xml:space="preserve">Vale Alimentação</t>
  </si>
  <si>
    <t xml:space="preserve">Cartão VA</t>
  </si>
  <si>
    <t xml:space="preserve">Benefício</t>
  </si>
  <si>
    <t xml:space="preserve">05/01/2025</t>
  </si>
  <si>
    <t xml:space="preserve">Aluguel</t>
  </si>
  <si>
    <t xml:space="preserve">Despesa</t>
  </si>
  <si>
    <t xml:space="preserve">✅ Pago</t>
  </si>
  <si>
    <t xml:space="preserve">Transferência</t>
  </si>
  <si>
    <t xml:space="preserve">Vencimento dia 5</t>
  </si>
  <si>
    <t xml:space="preserve">07/01/2025</t>
  </si>
  <si>
    <t xml:space="preserve">Supermercado</t>
  </si>
  <si>
    <t xml:space="preserve">Débito</t>
  </si>
  <si>
    <t xml:space="preserve">Compra semanal</t>
  </si>
  <si>
    <t xml:space="preserve">10/01/2025</t>
  </si>
  <si>
    <t xml:space="preserve">Internet + Celular</t>
  </si>
  <si>
    <t xml:space="preserve">Débito auto</t>
  </si>
  <si>
    <t xml:space="preserve">15/01/2025</t>
  </si>
  <si>
    <t xml:space="preserve">Transporte (Uber/VT)</t>
  </si>
  <si>
    <t xml:space="preserve">App</t>
  </si>
  <si>
    <t xml:space="preserve">20/01/2025</t>
  </si>
  <si>
    <t xml:space="preserve">Investimento — FGTS+</t>
  </si>
  <si>
    <t xml:space="preserve">TED</t>
  </si>
  <si>
    <t xml:space="preserve">Meta mensal</t>
  </si>
  <si>
    <t xml:space="preserve">25/01/2025</t>
  </si>
  <si>
    <t xml:space="preserve">Academia</t>
  </si>
  <si>
    <t xml:space="preserve">⏳ Pendente</t>
  </si>
  <si>
    <t xml:space="preserve">Boleto</t>
  </si>
  <si>
    <t xml:space="preserve">28/01/2025</t>
  </si>
  <si>
    <t xml:space="preserve">Streaming (Netflix etc)</t>
  </si>
  <si>
    <t xml:space="preserve">Cartão</t>
  </si>
  <si>
    <t xml:space="preserve">TOTAL DO MÊS</t>
  </si>
  <si>
    <t xml:space="preserve">📝 INSTRUÇÕES: Preencha uma linha por transação. Tipo: Receita ou Despesa. Status: ✅ Pago / ⏳ Pendente / ❌ Cancelado</t>
  </si>
  <si>
    <t xml:space="preserve">📋 REGISTRO DE TRANSAÇÕES — FEVEREIRO</t>
  </si>
  <si>
    <t xml:space="preserve">01/02/2025</t>
  </si>
  <si>
    <t xml:space="preserve">05/02/2025</t>
  </si>
  <si>
    <t xml:space="preserve">07/02/2025</t>
  </si>
  <si>
    <t xml:space="preserve">10/02/2025</t>
  </si>
  <si>
    <t xml:space="preserve">15/02/2025</t>
  </si>
  <si>
    <t xml:space="preserve">20/02/2025</t>
  </si>
  <si>
    <t xml:space="preserve">25/02/2025</t>
  </si>
  <si>
    <t xml:space="preserve">28/02/2025</t>
  </si>
  <si>
    <t xml:space="preserve">📋 REGISTRO DE TRANSAÇÕES — MARÇO</t>
  </si>
  <si>
    <t xml:space="preserve">01/03/2025</t>
  </si>
  <si>
    <t xml:space="preserve">05/03/2025</t>
  </si>
  <si>
    <t xml:space="preserve">07/03/2025</t>
  </si>
  <si>
    <t xml:space="preserve">10/03/2025</t>
  </si>
  <si>
    <t xml:space="preserve">15/03/2025</t>
  </si>
  <si>
    <t xml:space="preserve">20/03/2025</t>
  </si>
  <si>
    <t xml:space="preserve">25/03/2025</t>
  </si>
  <si>
    <t xml:space="preserve">28/03/2025</t>
  </si>
  <si>
    <t xml:space="preserve">📋 REGISTRO DE TRANSAÇÕES — ABRIL</t>
  </si>
  <si>
    <t xml:space="preserve">01/04/2025</t>
  </si>
  <si>
    <t xml:space="preserve">05/04/2025</t>
  </si>
  <si>
    <t xml:space="preserve">07/04/2025</t>
  </si>
  <si>
    <t xml:space="preserve">10/04/2025</t>
  </si>
  <si>
    <t xml:space="preserve">15/04/2025</t>
  </si>
  <si>
    <t xml:space="preserve">20/04/2025</t>
  </si>
  <si>
    <t xml:space="preserve">25/04/2025</t>
  </si>
  <si>
    <t xml:space="preserve">28/04/2025</t>
  </si>
  <si>
    <t xml:space="preserve">📋 REGISTRO DE TRANSAÇÕES — MAIO</t>
  </si>
  <si>
    <t xml:space="preserve">01/05/2025</t>
  </si>
  <si>
    <t xml:space="preserve">05/05/2025</t>
  </si>
  <si>
    <t xml:space="preserve">07/05/2025</t>
  </si>
  <si>
    <t xml:space="preserve">10/05/2025</t>
  </si>
  <si>
    <t xml:space="preserve">15/05/2025</t>
  </si>
  <si>
    <t xml:space="preserve">20/05/2025</t>
  </si>
  <si>
    <t xml:space="preserve">25/05/2025</t>
  </si>
  <si>
    <t xml:space="preserve">28/05/2025</t>
  </si>
  <si>
    <t xml:space="preserve">📋 REGISTRO DE TRANSAÇÕES — JUNHO</t>
  </si>
  <si>
    <t xml:space="preserve">01/06/2025</t>
  </si>
  <si>
    <t xml:space="preserve">05/06/2025</t>
  </si>
  <si>
    <t xml:space="preserve">07/06/2025</t>
  </si>
  <si>
    <t xml:space="preserve">10/06/2025</t>
  </si>
  <si>
    <t xml:space="preserve">15/06/2025</t>
  </si>
  <si>
    <t xml:space="preserve">20/06/2025</t>
  </si>
  <si>
    <t xml:space="preserve">25/06/2025</t>
  </si>
  <si>
    <t xml:space="preserve">28/06/2025</t>
  </si>
  <si>
    <t xml:space="preserve">📋 REGISTRO DE TRANSAÇÕES — JULHO</t>
  </si>
  <si>
    <t xml:space="preserve">01/07/2025</t>
  </si>
  <si>
    <t xml:space="preserve">05/07/2025</t>
  </si>
  <si>
    <t xml:space="preserve">07/07/2025</t>
  </si>
  <si>
    <t xml:space="preserve">10/07/2025</t>
  </si>
  <si>
    <t xml:space="preserve">15/07/2025</t>
  </si>
  <si>
    <t xml:space="preserve">20/07/2025</t>
  </si>
  <si>
    <t xml:space="preserve">25/07/2025</t>
  </si>
  <si>
    <t xml:space="preserve">28/07/2025</t>
  </si>
  <si>
    <t xml:space="preserve">📋 REGISTRO DE TRANSAÇÕES — AGOSTO</t>
  </si>
  <si>
    <t xml:space="preserve">01/08/2025</t>
  </si>
  <si>
    <t xml:space="preserve">05/08/2025</t>
  </si>
  <si>
    <t xml:space="preserve">07/08/2025</t>
  </si>
  <si>
    <t xml:space="preserve">10/08/2025</t>
  </si>
  <si>
    <t xml:space="preserve">15/08/2025</t>
  </si>
  <si>
    <t xml:space="preserve">20/08/2025</t>
  </si>
  <si>
    <t xml:space="preserve">25/08/2025</t>
  </si>
  <si>
    <t xml:space="preserve">28/08/2025</t>
  </si>
  <si>
    <t xml:space="preserve">📋 REGISTRO DE TRANSAÇÕES — SETEMBRO</t>
  </si>
  <si>
    <t xml:space="preserve">01/09/2025</t>
  </si>
  <si>
    <t xml:space="preserve">05/09/2025</t>
  </si>
  <si>
    <t xml:space="preserve">07/09/2025</t>
  </si>
  <si>
    <t xml:space="preserve">10/09/2025</t>
  </si>
  <si>
    <t xml:space="preserve">15/09/2025</t>
  </si>
  <si>
    <t xml:space="preserve">20/09/2025</t>
  </si>
  <si>
    <t xml:space="preserve">25/09/2025</t>
  </si>
  <si>
    <t xml:space="preserve">28/09/2025</t>
  </si>
  <si>
    <t xml:space="preserve">📋 REGISTRO DE TRANSAÇÕES — OUTUBRO</t>
  </si>
  <si>
    <t xml:space="preserve">01/10/2025</t>
  </si>
  <si>
    <t xml:space="preserve">05/10/2025</t>
  </si>
  <si>
    <t xml:space="preserve">07/10/2025</t>
  </si>
  <si>
    <t xml:space="preserve">10/10/2025</t>
  </si>
  <si>
    <t xml:space="preserve">15/10/2025</t>
  </si>
  <si>
    <t xml:space="preserve">20/10/2025</t>
  </si>
  <si>
    <t xml:space="preserve">25/10/2025</t>
  </si>
  <si>
    <t xml:space="preserve">28/10/2025</t>
  </si>
  <si>
    <t xml:space="preserve">📋 REGISTRO DE TRANSAÇÕES — NOVEMBRO</t>
  </si>
  <si>
    <t xml:space="preserve">01/11/2025</t>
  </si>
  <si>
    <t xml:space="preserve">05/11/2025</t>
  </si>
  <si>
    <t xml:space="preserve">07/11/2025</t>
  </si>
  <si>
    <t xml:space="preserve">10/11/2025</t>
  </si>
  <si>
    <t xml:space="preserve">15/11/2025</t>
  </si>
  <si>
    <t xml:space="preserve">20/11/2025</t>
  </si>
  <si>
    <t xml:space="preserve">25/11/2025</t>
  </si>
  <si>
    <t xml:space="preserve">28/11/2025</t>
  </si>
  <si>
    <t xml:space="preserve">📋 REGISTRO DE TRANSAÇÕES — DEZEMBRO</t>
  </si>
  <si>
    <t xml:space="preserve">01/12/2025</t>
  </si>
  <si>
    <t xml:space="preserve">05/12/2025</t>
  </si>
  <si>
    <t xml:space="preserve">07/12/2025</t>
  </si>
  <si>
    <t xml:space="preserve">10/12/2025</t>
  </si>
  <si>
    <t xml:space="preserve">15/12/2025</t>
  </si>
  <si>
    <t xml:space="preserve">20/12/2025</t>
  </si>
  <si>
    <t xml:space="preserve">25/12/2025</t>
  </si>
  <si>
    <t xml:space="preserve">28/12/2025</t>
  </si>
  <si>
    <t xml:space="preserve">🎯 PLANEJAMENTO DE METAS FINANCEIRAS 2025</t>
  </si>
  <si>
    <t xml:space="preserve">📌 METAS DE POUPANÇA E INVESTIMENTO</t>
  </si>
  <si>
    <t xml:space="preserve">Meta / Objetivo</t>
  </si>
  <si>
    <t xml:space="preserve">Valor Total</t>
  </si>
  <si>
    <t xml:space="preserve">Já Guardado</t>
  </si>
  <si>
    <t xml:space="preserve">Falta</t>
  </si>
  <si>
    <t xml:space="preserve">Prazo</t>
  </si>
  <si>
    <t xml:space="preserve">Por Mês</t>
  </si>
  <si>
    <t xml:space="preserve">Progresso</t>
  </si>
  <si>
    <t xml:space="preserve">🚨 Reserva de Emergência (6x salário)</t>
  </si>
  <si>
    <t xml:space="preserve">Dez/2025</t>
  </si>
  <si>
    <t xml:space="preserve">🏠 Entrada Apartamento</t>
  </si>
  <si>
    <t xml:space="preserve">Dez/2027</t>
  </si>
  <si>
    <t xml:space="preserve">🚗 Carro Novo / Reforma do Carro</t>
  </si>
  <si>
    <t xml:space="preserve">Jun/2026</t>
  </si>
  <si>
    <t xml:space="preserve">📚 Curso / Especialização</t>
  </si>
  <si>
    <t xml:space="preserve">Jun/2025</t>
  </si>
  <si>
    <t xml:space="preserve">✈️ Viagem dos Sonhos</t>
  </si>
  <si>
    <t xml:space="preserve">💰 Previdência Privada</t>
  </si>
  <si>
    <t xml:space="preserve">Dez/2035</t>
  </si>
  <si>
    <t xml:space="preserve">📱 Eletrônicos / Equipamentos</t>
  </si>
  <si>
    <t xml:space="preserve">Mar/2025</t>
  </si>
  <si>
    <t xml:space="preserve">🎓 Faculdade / Pós-Graduação</t>
  </si>
  <si>
    <t xml:space="preserve">Dez/2026</t>
  </si>
  <si>
    <t xml:space="preserve">💳 CONTROLE DE DÍVIDAS</t>
  </si>
  <si>
    <t xml:space="preserve">Dívida / Credor</t>
  </si>
  <si>
    <t xml:space="preserve">Valor Original</t>
  </si>
  <si>
    <t xml:space="preserve">Saldo Devedor</t>
  </si>
  <si>
    <t xml:space="preserve">Parcela Mensal</t>
  </si>
  <si>
    <t xml:space="preserve">Parcelas Restantes</t>
  </si>
  <si>
    <t xml:space="preserve">Previsão Quitação</t>
  </si>
  <si>
    <t xml:space="preserve">Juros (% a.m.)</t>
  </si>
  <si>
    <t xml:space="preserve">💳 Cartão de Crédito</t>
  </si>
  <si>
    <t xml:space="preserve">🏦 Empréstimo Pessoal</t>
  </si>
  <si>
    <t xml:space="preserve">Mar/2026</t>
  </si>
  <si>
    <t xml:space="preserve">📱 Celular Parcelado</t>
  </si>
  <si>
    <t xml:space="preserve">Sep/2025</t>
  </si>
  <si>
    <t xml:space="preserve">TOTAL DÍVIDAS</t>
  </si>
  <si>
    <t xml:space="preserve">📈 ANÁLISE ANUAL 2025 — Evolução Mensal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</si>
  <si>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</si>
  <si>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</si>
  <si>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</si>
  <si>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</si>
  <si>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</si>
  <si>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</si>
  <si>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</si>
  <si>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</si>
  <si>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</si>
  <si>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</si>
  <si>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</si>
  <si>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💵 RECEITAS</t>
  </si>
  <si>
    <t xml:space="preserve">💸 DESPESAS</t>
  </si>
  <si>
    <t xml:space="preserve">💎 SALDO</t>
  </si>
  <si>
    <t xml:space="preserve">💰 INVESTIDO</t>
  </si>
  <si>
    <t xml:space="preserve">💳 DÍVIDAS</t>
  </si>
  <si>
    <t xml:space="preserve">ℹ️  Dica: Atualize os valores azuis manualmente ou conecte com fórmulas das abas mensais para automatizar a análise anual.</t>
  </si>
  <si>
    <t xml:space="preserve">📚 GUIA DE CATEGORIAS &amp; INSTRUÇÕES DE USO</t>
  </si>
  <si>
    <t xml:space="preserve">Exemplos</t>
  </si>
  <si>
    <t xml:space="preserve">Limite Sugerido</t>
  </si>
  <si>
    <t xml:space="preserve">Aluguel, condomínio, IPTU</t>
  </si>
  <si>
    <t xml:space="preserve">35% do salário</t>
  </si>
  <si>
    <t xml:space="preserve">Luz, água, gás, internet, telefone</t>
  </si>
  <si>
    <t xml:space="preserve">10% do salário</t>
  </si>
  <si>
    <t xml:space="preserve">Combustível, transporte público, Uber</t>
  </si>
  <si>
    <t xml:space="preserve">Mercado, restaurantes, delivery</t>
  </si>
  <si>
    <t xml:space="preserve">15% do salário</t>
  </si>
  <si>
    <t xml:space="preserve">Plano de saúde, farmácia, consultas</t>
  </si>
  <si>
    <t xml:space="preserve">Cursos, livros, assinaturas</t>
  </si>
  <si>
    <t xml:space="preserve">5% do salário</t>
  </si>
  <si>
    <t xml:space="preserve">Roupas, calçados, acessórios</t>
  </si>
  <si>
    <t xml:space="preserve">Cinema, streaming, hobbies</t>
  </si>
  <si>
    <t xml:space="preserve">Cartão, financiamentos, empréstimos</t>
  </si>
  <si>
    <t xml:space="preserve">Eliminar/Reduzir</t>
  </si>
  <si>
    <t xml:space="preserve">Poupança, ações, fundos, previdência</t>
  </si>
  <si>
    <t xml:space="preserve">Seguros, assinaturas fixas</t>
  </si>
  <si>
    <t xml:space="preserve">Gastos eventuais</t>
  </si>
  <si>
    <t xml:space="preserve">🚀 COMO USAR ESTA PLANILHA</t>
  </si>
  <si>
    <t xml:space="preserve">1️⃣  Abra a aba do mês atual (ex: Janeiro) e preencha cada transação diariamente</t>
  </si>
  <si>
    <t xml:space="preserve">2️⃣  Tipo: use 'Receita' para entradas e 'Despesa' para saídas</t>
  </si>
  <si>
    <t xml:space="preserve">3️⃣  Categoria: escolha a categoria mais próxima da lista acima</t>
  </si>
  <si>
    <t xml:space="preserve">4️⃣  Status: marque ✅ Pago, ⏳ Pendente ou ❌ Cancelado</t>
  </si>
  <si>
    <t xml:space="preserve">5️⃣  O Dashboard atualiza automaticamente o resumo do mês de Janeiro</t>
  </si>
  <si>
    <t xml:space="preserve">6️⃣  Na aba Metas, atualize o valor 'Já Guardado' mensalmente</t>
  </si>
  <si>
    <t xml:space="preserve">7️⃣  Na aba Análise Anual, copie os totais mensais para ver a evolução</t>
  </si>
  <si>
    <t xml:space="preserve">8️⃣  Valores em AZUL são editáveis | Valores em PRETO são calculados automaticamente</t>
  </si>
  <si>
    <t xml:space="preserve">9️⃣  Aplique a Regra 50-30-20: 50% Necessidades | 30% Desejos | 20% Investimentos</t>
  </si>
  <si>
    <t xml:space="preserve">🔟  Revise semanalmente e compare Planejado vs Realizado para ajustar seus hábitos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</si>
</sst>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;&quot;(R$ &quot;#,##0.00\);\-"/>
    <numFmt numFmtId="166" formatCode="0.0%"/>
    <numFmt numFmtId="167" formatCode="0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D97706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D97706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18"/>
      <color rgb="FF16A34A"/>
      <name val="Arial"/>
      <family val="0"/>
      <charset val="1"/>
    </font>
    <font>
      <b val="true"/>
      <sz val="18"/>
      <color rgb="FFDC2626"/>
      <name val="Arial"/>
      <family val="0"/>
      <charset val="1"/>
    </font>
    <font>
      <b val="true"/>
      <sz val="18"/>
      <color rgb="FFD9770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9"/>
      <color rgb="FF2563EB"/>
      <name val="Arial"/>
      <family val="0"/>
      <charset val="1"/>
    </font>
    <font>
      <b val="true"/>
      <sz val="9"/>
      <color rgb="FF7C3AED"/>
      <name val="Arial"/>
      <family val="0"/>
      <charset val="1"/>
    </font>
    <font>
      <b val="true"/>
      <sz val="18"/>
      <color rgb="FF2563EB"/>
      <name val="Arial"/>
      <family val="0"/>
      <charset val="1"/>
    </font>
    <font>
      <b val="true"/>
      <sz val="18"/>
      <color rgb="FF7C3AED"/>
      <name val="Arial"/>
      <family val="0"/>
      <charset val="1"/>
    </font>
    <font>
      <sz val="9"/>
      <color rgb="FF111827"/>
      <name val="Arial"/>
      <family val="0"/>
      <charset val="1"/>
    </font>
    <font>
      <b val="true"/>
      <sz val="8"/>
      <color rgb="FF2563EB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8"/>
      <color rgb="FFD97706"/>
      <name val="Arial"/>
      <family val="0"/>
      <charset val="1"/>
    </font>
    <font>
      <b val="true"/>
      <sz val="8"/>
      <color rgb="FFDC2626"/>
      <name val="Arial"/>
      <family val="0"/>
      <charset val="1"/>
    </font>
    <font>
      <b val="true"/>
      <sz val="8"/>
      <color rgb="FF16A34A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2563EB"/>
      <name val="Arial"/>
      <family val="0"/>
      <charset val="1"/>
    </font>
    <font>
      <b val="true"/>
      <sz val="14"/>
      <color rgb="FFD97706"/>
      <name val="Arial"/>
      <family val="0"/>
      <charset val="1"/>
    </font>
    <font>
      <b val="true"/>
      <sz val="14"/>
      <color rgb="FF16A34A"/>
      <name val="Arial"/>
      <family val="0"/>
      <charset val="1"/>
    </font>
    <font>
      <b val="true"/>
      <sz val="14"/>
      <color rgb="FFDC262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sz val="9"/>
      <color rgb="FF16A34A"/>
      <name val="Arial"/>
      <family val="0"/>
      <charset val="1"/>
    </font>
    <font>
      <sz val="9"/>
      <color rgb="FFDC2626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sz val="10"/>
      <color rgb="FF111827"/>
      <name val="Arial"/>
      <family val="0"/>
      <charset val="1"/>
    </font>
    <font>
      <i val="true"/>
      <sz val="9"/>
      <color rgb="FF374151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A0A0F"/>
        <bgColor rgb="FF000000"/>
      </patternFill>
    </fill>
    <fill>
      <patternFill patternType="solid">
        <fgColor rgb="FF1A1A28"/>
        <bgColor rgb="FF111827"/>
      </patternFill>
    </fill>
    <fill>
      <patternFill patternType="solid">
        <fgColor rgb="FF2D2D3F"/>
        <bgColor rgb="FF374151"/>
      </patternFill>
    </fill>
    <fill>
      <patternFill patternType="solid">
        <fgColor rgb="FFDCFCE7"/>
        <bgColor rgb="FFDBEAFE"/>
      </patternFill>
    </fill>
    <fill>
      <patternFill patternType="solid">
        <fgColor rgb="FFFEE2E2"/>
        <bgColor rgb="FFEDE9FE"/>
      </patternFill>
    </fill>
    <fill>
      <patternFill patternType="solid">
        <fgColor rgb="FFFEF3C7"/>
        <bgColor rgb="FFFEE2E2"/>
      </patternFill>
    </fill>
    <fill>
      <patternFill patternType="solid">
        <fgColor rgb="FFFFFFFF"/>
        <bgColor rgb="FFF9FAFB"/>
      </patternFill>
    </fill>
    <fill>
      <patternFill patternType="solid">
        <fgColor rgb="FFDBEAFE"/>
        <bgColor rgb="FFEDE9FE"/>
      </patternFill>
    </fill>
    <fill>
      <patternFill patternType="solid">
        <fgColor rgb="FFEDE9FE"/>
        <bgColor rgb="FFDBEAFE"/>
      </patternFill>
    </fill>
    <fill>
      <patternFill patternType="solid">
        <fgColor rgb="FFF9FA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4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5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5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5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3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3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3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A0A0F"/>
      <rgbColor rgb="FF808000"/>
      <rgbColor rgb="FF800080"/>
      <rgbColor rgb="FF008080"/>
      <rgbColor rgb="FFC0C0C0"/>
      <rgbColor rgb="FF808080"/>
      <rgbColor rgb="FF9999FF"/>
      <rgbColor rgb="FF7C3AED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9FAFB"/>
      <rgbColor rgb="FFEDE9FE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16A34A"/>
      <rgbColor rgb="FF111827"/>
      <rgbColor rgb="FF1A1A28"/>
      <rgbColor rgb="FF993300"/>
      <rgbColor rgb="FF993366"/>
      <rgbColor rgb="FF374151"/>
      <rgbColor rgb="FF2D2D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6" min="4" style="0" width="15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3"/>
    <col collapsed="false" customWidth="true" hidden="false" outlineLevel="0" max="19" min="10" style="0" width="14"/>
  </cols>
  <sheetData>
    <row r="1" customFormat="false" ht="21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21.75" hidden="false" customHeight="true" outlineLevel="0" collapsed="false"/>
    <row r="5" customFormat="false" ht="19.5" hidden="false" customHeight="true" outlineLevel="0" collapsed="false">
      <c r="B5" s="3" t="s">
        <v>2</v>
      </c>
      <c r="C5" s="3"/>
      <c r="D5" s="3"/>
    </row>
    <row r="6" customFormat="false" ht="19.5" hidden="false" customHeight="true" outlineLevel="0" collapsed="false">
      <c r="B6" s="4" t="s">
        <v>3</v>
      </c>
      <c r="C6" s="5" t="s">
        <v>4</v>
      </c>
      <c r="D6" s="6" t="s">
        <v>5</v>
      </c>
    </row>
    <row r="7" customFormat="false" ht="19.5" hidden="false" customHeight="true" outlineLevel="0" collapsed="false"/>
    <row r="8" customFormat="false" ht="19.5" hidden="false" customHeight="true" outlineLevel="0" collapsed="false">
      <c r="B8" s="7" t="s">
        <v>6</v>
      </c>
      <c r="C8" s="7"/>
      <c r="D8" s="7"/>
      <c r="E8" s="8" t="s">
        <v>7</v>
      </c>
      <c r="F8" s="8"/>
      <c r="G8" s="8"/>
      <c r="H8" s="9" t="s">
        <v>8</v>
      </c>
      <c r="I8" s="9"/>
      <c r="J8" s="9"/>
    </row>
    <row r="9" customFormat="false" ht="19.5" hidden="false" customHeight="true" outlineLevel="0" collapsed="false">
      <c r="B9" s="10" t="n">
        <f aca="false">SUMIF(Janeiro!C:C,"Receita",Janeiro!E:E)</f>
        <v>0</v>
      </c>
      <c r="C9" s="10"/>
      <c r="D9" s="10"/>
      <c r="E9" s="11" t="n">
        <f aca="false">SUMIF(Janeiro!C:C,"Despesa",Janeiro!E:E)</f>
        <v>0</v>
      </c>
      <c r="F9" s="11"/>
      <c r="G9" s="11"/>
      <c r="H9" s="12" t="n">
        <f aca="false">B9-E9</f>
        <v>0</v>
      </c>
      <c r="I9" s="12"/>
      <c r="J9" s="12"/>
    </row>
    <row r="10" customFormat="false" ht="19.5" hidden="false" customHeight="true" outlineLevel="0" collapsed="false">
      <c r="B10" s="13" t="s">
        <v>9</v>
      </c>
      <c r="C10" s="13"/>
      <c r="D10" s="13"/>
      <c r="E10" s="14" t="s">
        <v>10</v>
      </c>
      <c r="F10" s="14"/>
      <c r="G10" s="14"/>
      <c r="H10" s="15" t="s">
        <v>11</v>
      </c>
      <c r="I10" s="15"/>
      <c r="J10" s="15"/>
    </row>
    <row r="11" customFormat="false" ht="19.5" hidden="false" customHeight="true" outlineLevel="0" collapsed="false">
      <c r="B11" s="16"/>
      <c r="C11" s="16"/>
      <c r="D11" s="16"/>
      <c r="E11" s="16"/>
      <c r="F11" s="16"/>
      <c r="G11" s="16"/>
      <c r="H11" s="16"/>
      <c r="I11" s="16"/>
      <c r="J11" s="16"/>
    </row>
    <row r="12" customFormat="false" ht="19.5" hidden="false" customHeight="true" outlineLevel="0" collapsed="false"/>
    <row r="13" customFormat="false" ht="19.5" hidden="false" customHeight="true" outlineLevel="0" collapsed="false">
      <c r="B13" s="17" t="s">
        <v>12</v>
      </c>
      <c r="C13" s="17"/>
      <c r="D13" s="17"/>
      <c r="E13" s="8" t="s">
        <v>13</v>
      </c>
      <c r="F13" s="8"/>
      <c r="G13" s="8"/>
      <c r="H13" s="18" t="s">
        <v>14</v>
      </c>
      <c r="I13" s="18"/>
      <c r="J13" s="18"/>
    </row>
    <row r="14" customFormat="false" ht="19.5" hidden="false" customHeight="true" outlineLevel="0" collapsed="false">
      <c r="B14" s="19" t="n">
        <f aca="false">SUMIF(Janeiro!D:D,"Meta",Janeiro!E:E)</f>
        <v>0</v>
      </c>
      <c r="C14" s="19"/>
      <c r="D14" s="19"/>
      <c r="E14" s="11" t="n">
        <f aca="false">SUMIF(Janeiro!D:D,"Fixo",Janeiro!E:E)*0</f>
        <v>0</v>
      </c>
      <c r="F14" s="11"/>
      <c r="G14" s="11"/>
      <c r="H14" s="20" t="n">
        <v>5000</v>
      </c>
      <c r="I14" s="20"/>
      <c r="J14" s="20"/>
    </row>
    <row r="15" customFormat="false" ht="19.5" hidden="false" customHeight="true" outlineLevel="0" collapsed="false">
      <c r="B15" s="21" t="s">
        <v>15</v>
      </c>
      <c r="C15" s="21"/>
      <c r="D15" s="21"/>
      <c r="E15" s="14" t="s">
        <v>16</v>
      </c>
      <c r="F15" s="14"/>
      <c r="G15" s="14"/>
      <c r="H15" s="22" t="s">
        <v>17</v>
      </c>
      <c r="I15" s="22"/>
      <c r="J15" s="22"/>
    </row>
    <row r="16" customFormat="false" ht="19.5" hidden="false" customHeight="true" outlineLevel="0" collapsed="false">
      <c r="B16" s="16"/>
      <c r="C16" s="16"/>
      <c r="D16" s="16"/>
      <c r="E16" s="16"/>
      <c r="F16" s="16"/>
      <c r="G16" s="16"/>
      <c r="H16" s="16"/>
      <c r="I16" s="16"/>
      <c r="J16" s="16"/>
    </row>
    <row r="17" customFormat="false" ht="19.5" hidden="false" customHeight="true" outlineLevel="0" collapsed="false"/>
    <row r="18" customFormat="false" ht="19.5" hidden="false" customHeight="true" outlineLevel="0" collapsed="false">
      <c r="B18" s="23" t="s">
        <v>18</v>
      </c>
      <c r="C18" s="23"/>
      <c r="D18" s="23"/>
      <c r="E18" s="23"/>
      <c r="F18" s="23"/>
      <c r="G18" s="23"/>
      <c r="H18" s="23"/>
      <c r="I18" s="23"/>
      <c r="J18" s="23"/>
    </row>
    <row r="19" customFormat="false" ht="19.5" hidden="false" customHeight="true" outlineLevel="0" collapsed="false">
      <c r="B19" s="24" t="s">
        <v>19</v>
      </c>
      <c r="C19" s="24" t="s">
        <v>20</v>
      </c>
      <c r="D19" s="24" t="s">
        <v>21</v>
      </c>
      <c r="E19" s="24" t="s">
        <v>22</v>
      </c>
      <c r="F19" s="24" t="s">
        <v>23</v>
      </c>
      <c r="G19" s="24" t="s">
        <v>24</v>
      </c>
      <c r="H19" s="24" t="s">
        <v>25</v>
      </c>
    </row>
    <row r="20" customFormat="false" ht="19.5" hidden="false" customHeight="true" outlineLevel="0" collapsed="false">
      <c r="B20" s="25" t="s">
        <v>26</v>
      </c>
      <c r="C20" s="26" t="s">
        <v>27</v>
      </c>
      <c r="D20" s="27" t="n">
        <v>1500</v>
      </c>
      <c r="E20" s="28" t="n">
        <v>0</v>
      </c>
      <c r="F20" s="28" t="n">
        <f aca="false">E20-D20</f>
        <v>-1500</v>
      </c>
      <c r="G20" s="29" t="n">
        <f aca="false">IFERROR(D20/SUM(D20:D31),0)</f>
        <v>0.344827586206897</v>
      </c>
      <c r="H20" s="30" t="str">
        <f aca="false">IF(E20&lt;=D20,"✅ OK","⚠️ Excedeu")</f>
        <v>✅ OK</v>
      </c>
    </row>
    <row r="21" customFormat="false" ht="19.5" hidden="false" customHeight="true" outlineLevel="0" collapsed="false">
      <c r="B21" s="31" t="s">
        <v>28</v>
      </c>
      <c r="C21" s="32" t="s">
        <v>27</v>
      </c>
      <c r="D21" s="33" t="n">
        <v>400</v>
      </c>
      <c r="E21" s="34" t="n">
        <v>0</v>
      </c>
      <c r="F21" s="34" t="n">
        <f aca="false">E21-D21</f>
        <v>-400</v>
      </c>
      <c r="G21" s="35" t="n">
        <f aca="false">IFERROR(D21/SUM(D20:D31),0)</f>
        <v>0.0919540229885058</v>
      </c>
      <c r="H21" s="36" t="str">
        <f aca="false">IF(E21&lt;=D21,"✅ OK","⚠️ Excedeu")</f>
        <v>✅ OK</v>
      </c>
    </row>
    <row r="22" customFormat="false" ht="19.5" hidden="false" customHeight="true" outlineLevel="0" collapsed="false">
      <c r="B22" s="25" t="s">
        <v>29</v>
      </c>
      <c r="C22" s="26" t="s">
        <v>27</v>
      </c>
      <c r="D22" s="27" t="n">
        <v>300</v>
      </c>
      <c r="E22" s="28" t="n">
        <v>0</v>
      </c>
      <c r="F22" s="28" t="n">
        <f aca="false">E22-D22</f>
        <v>-300</v>
      </c>
      <c r="G22" s="29" t="n">
        <f aca="false">IFERROR(D22/SUM(D20:D31),0)</f>
        <v>0.0689655172413793</v>
      </c>
      <c r="H22" s="30" t="str">
        <f aca="false">IF(E22&lt;=D22,"✅ OK","⚠️ Excedeu")</f>
        <v>✅ OK</v>
      </c>
    </row>
    <row r="23" customFormat="false" ht="19.5" hidden="false" customHeight="true" outlineLevel="0" collapsed="false">
      <c r="B23" s="31" t="s">
        <v>30</v>
      </c>
      <c r="C23" s="37" t="s">
        <v>31</v>
      </c>
      <c r="D23" s="33" t="n">
        <v>600</v>
      </c>
      <c r="E23" s="34" t="n">
        <v>0</v>
      </c>
      <c r="F23" s="34" t="n">
        <f aca="false">E23-D23</f>
        <v>-600</v>
      </c>
      <c r="G23" s="35" t="n">
        <f aca="false">IFERROR(D23/SUM(D20:D31),0)</f>
        <v>0.137931034482759</v>
      </c>
      <c r="H23" s="36" t="str">
        <f aca="false">IF(E23&lt;=D23,"✅ OK","⚠️ Excedeu")</f>
        <v>✅ OK</v>
      </c>
    </row>
    <row r="24" customFormat="false" ht="19.5" hidden="false" customHeight="true" outlineLevel="0" collapsed="false">
      <c r="B24" s="25" t="s">
        <v>32</v>
      </c>
      <c r="C24" s="26" t="s">
        <v>27</v>
      </c>
      <c r="D24" s="27" t="n">
        <v>300</v>
      </c>
      <c r="E24" s="28" t="n">
        <v>0</v>
      </c>
      <c r="F24" s="28" t="n">
        <f aca="false">E24-D24</f>
        <v>-300</v>
      </c>
      <c r="G24" s="29" t="n">
        <f aca="false">IFERROR(D24/SUM(D20:D31),0)</f>
        <v>0.0689655172413793</v>
      </c>
      <c r="H24" s="30" t="str">
        <f aca="false">IF(E24&lt;=D24,"✅ OK","⚠️ Excedeu")</f>
        <v>✅ OK</v>
      </c>
    </row>
    <row r="25" customFormat="false" ht="19.5" hidden="false" customHeight="true" outlineLevel="0" collapsed="false">
      <c r="B25" s="31" t="s">
        <v>33</v>
      </c>
      <c r="C25" s="37" t="s">
        <v>31</v>
      </c>
      <c r="D25" s="33" t="n">
        <v>100</v>
      </c>
      <c r="E25" s="34" t="n">
        <v>0</v>
      </c>
      <c r="F25" s="34" t="n">
        <f aca="false">E25-D25</f>
        <v>-100</v>
      </c>
      <c r="G25" s="35" t="n">
        <f aca="false">IFERROR(D25/SUM(D20:D31),0)</f>
        <v>0.0229885057471264</v>
      </c>
      <c r="H25" s="36" t="str">
        <f aca="false">IF(E25&lt;=D25,"✅ OK","⚠️ Excedeu")</f>
        <v>✅ OK</v>
      </c>
    </row>
    <row r="26" customFormat="false" ht="19.5" hidden="false" customHeight="true" outlineLevel="0" collapsed="false">
      <c r="B26" s="25" t="s">
        <v>34</v>
      </c>
      <c r="C26" s="38" t="s">
        <v>35</v>
      </c>
      <c r="D26" s="27" t="n">
        <v>150</v>
      </c>
      <c r="E26" s="28" t="n">
        <v>0</v>
      </c>
      <c r="F26" s="28" t="n">
        <f aca="false">E26-D26</f>
        <v>-150</v>
      </c>
      <c r="G26" s="29" t="n">
        <f aca="false">IFERROR(D26/SUM(D20:D31),0)</f>
        <v>0.0344827586206897</v>
      </c>
      <c r="H26" s="30" t="str">
        <f aca="false">IF(E26&lt;=D26,"✅ OK","⚠️ Excedeu")</f>
        <v>✅ OK</v>
      </c>
    </row>
    <row r="27" customFormat="false" ht="19.5" hidden="false" customHeight="true" outlineLevel="0" collapsed="false">
      <c r="B27" s="31" t="s">
        <v>36</v>
      </c>
      <c r="C27" s="39" t="s">
        <v>35</v>
      </c>
      <c r="D27" s="33" t="n">
        <v>200</v>
      </c>
      <c r="E27" s="34" t="n">
        <v>0</v>
      </c>
      <c r="F27" s="34" t="n">
        <f aca="false">E27-D27</f>
        <v>-200</v>
      </c>
      <c r="G27" s="35" t="n">
        <f aca="false">IFERROR(D27/SUM(D20:D31),0)</f>
        <v>0.0459770114942529</v>
      </c>
      <c r="H27" s="36" t="str">
        <f aca="false">IF(E27&lt;=D27,"✅ OK","⚠️ Excedeu")</f>
        <v>✅ OK</v>
      </c>
    </row>
    <row r="28" customFormat="false" ht="19.5" hidden="false" customHeight="true" outlineLevel="0" collapsed="false">
      <c r="B28" s="25" t="s">
        <v>37</v>
      </c>
      <c r="C28" s="26" t="s">
        <v>27</v>
      </c>
      <c r="D28" s="27" t="n">
        <v>0</v>
      </c>
      <c r="E28" s="28" t="n">
        <v>0</v>
      </c>
      <c r="F28" s="28" t="n">
        <f aca="false">E28-D28</f>
        <v>0</v>
      </c>
      <c r="G28" s="29" t="n">
        <f aca="false">IFERROR(D28/SUM(D20:D31),0)</f>
        <v>0</v>
      </c>
      <c r="H28" s="30" t="str">
        <f aca="false">IF(E28&lt;=D28,"✅ OK","⚠️ Excedeu")</f>
        <v>✅ OK</v>
      </c>
    </row>
    <row r="29" customFormat="false" ht="19.5" hidden="false" customHeight="true" outlineLevel="0" collapsed="false">
      <c r="B29" s="31" t="s">
        <v>38</v>
      </c>
      <c r="C29" s="40" t="s">
        <v>39</v>
      </c>
      <c r="D29" s="33" t="n">
        <v>500</v>
      </c>
      <c r="E29" s="34" t="n">
        <v>0</v>
      </c>
      <c r="F29" s="34" t="n">
        <f aca="false">E29-D29</f>
        <v>-500</v>
      </c>
      <c r="G29" s="35" t="n">
        <f aca="false">IFERROR(D29/SUM(D20:D31),0)</f>
        <v>0.114942528735632</v>
      </c>
      <c r="H29" s="36" t="str">
        <f aca="false">IF(E29&lt;=D29,"✅ OK","⚠️ Excedeu")</f>
        <v>✅ OK</v>
      </c>
    </row>
    <row r="30" customFormat="false" ht="19.5" hidden="false" customHeight="true" outlineLevel="0" collapsed="false">
      <c r="B30" s="25" t="s">
        <v>40</v>
      </c>
      <c r="C30" s="26" t="s">
        <v>27</v>
      </c>
      <c r="D30" s="27" t="n">
        <v>200</v>
      </c>
      <c r="E30" s="28" t="n">
        <v>0</v>
      </c>
      <c r="F30" s="28" t="n">
        <f aca="false">E30-D30</f>
        <v>-200</v>
      </c>
      <c r="G30" s="29" t="n">
        <f aca="false">IFERROR(D30/SUM(D20:D31),0)</f>
        <v>0.0459770114942529</v>
      </c>
      <c r="H30" s="30" t="str">
        <f aca="false">IF(E30&lt;=D30,"✅ OK","⚠️ Excedeu")</f>
        <v>✅ OK</v>
      </c>
    </row>
    <row r="31" customFormat="false" ht="19.5" hidden="false" customHeight="true" outlineLevel="0" collapsed="false">
      <c r="B31" s="31" t="s">
        <v>41</v>
      </c>
      <c r="C31" s="37" t="s">
        <v>31</v>
      </c>
      <c r="D31" s="33" t="n">
        <v>100</v>
      </c>
      <c r="E31" s="34" t="n">
        <v>0</v>
      </c>
      <c r="F31" s="34" t="n">
        <f aca="false">E31-D31</f>
        <v>-100</v>
      </c>
      <c r="G31" s="35" t="n">
        <f aca="false">IFERROR(D31/SUM(D20:D31),0)</f>
        <v>0.0229885057471264</v>
      </c>
      <c r="H31" s="36" t="str">
        <f aca="false">IF(E31&lt;=D31,"✅ OK","⚠️ Excedeu")</f>
        <v>✅ OK</v>
      </c>
    </row>
    <row r="32" customFormat="false" ht="19.5" hidden="false" customHeight="true" outlineLevel="0" collapsed="false">
      <c r="B32" s="41" t="s">
        <v>42</v>
      </c>
      <c r="C32" s="41"/>
      <c r="D32" s="42" t="n">
        <f aca="false">SUM(D20:D31)</f>
        <v>4350</v>
      </c>
      <c r="E32" s="42" t="n">
        <f aca="false">SUM(E20:E31)</f>
        <v>0</v>
      </c>
      <c r="F32" s="42" t="n">
        <f aca="false">SUM(F20:F31)</f>
        <v>-4350</v>
      </c>
      <c r="G32" s="43"/>
      <c r="H32" s="43"/>
    </row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>
      <c r="B35" s="23" t="s">
        <v>43</v>
      </c>
      <c r="C35" s="23"/>
      <c r="D35" s="23"/>
      <c r="E35" s="23"/>
      <c r="F35" s="23"/>
      <c r="G35" s="23"/>
      <c r="H35" s="23"/>
      <c r="I35" s="23"/>
      <c r="J35" s="23"/>
    </row>
    <row r="36" customFormat="false" ht="19.5" hidden="false" customHeight="true" outlineLevel="0" collapsed="false">
      <c r="B36" s="44" t="s">
        <v>44</v>
      </c>
      <c r="D36" s="45" t="s">
        <v>45</v>
      </c>
      <c r="E36" s="45"/>
      <c r="F36" s="45"/>
      <c r="G36" s="45"/>
      <c r="H36" s="45"/>
      <c r="I36" s="45"/>
      <c r="J36" s="45"/>
    </row>
    <row r="37" customFormat="false" ht="19.5" hidden="false" customHeight="true" outlineLevel="0" collapsed="false">
      <c r="B37" s="46" t="s">
        <v>46</v>
      </c>
      <c r="D37" s="45" t="s">
        <v>47</v>
      </c>
      <c r="E37" s="45"/>
      <c r="F37" s="45"/>
      <c r="G37" s="45"/>
      <c r="H37" s="45"/>
      <c r="I37" s="45"/>
      <c r="J37" s="45"/>
    </row>
    <row r="38" customFormat="false" ht="19.5" hidden="false" customHeight="true" outlineLevel="0" collapsed="false">
      <c r="B38" s="47" t="s">
        <v>48</v>
      </c>
      <c r="D38" s="45" t="s">
        <v>49</v>
      </c>
      <c r="E38" s="45"/>
      <c r="F38" s="45"/>
      <c r="G38" s="45"/>
      <c r="H38" s="45"/>
      <c r="I38" s="45"/>
      <c r="J38" s="45"/>
    </row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</sheetData>
  <mergeCells count="33">
    <mergeCell ref="B1:H2"/>
    <mergeCell ref="B3:H3"/>
    <mergeCell ref="B5:D5"/>
    <mergeCell ref="B8:D8"/>
    <mergeCell ref="E8:G8"/>
    <mergeCell ref="H8:J8"/>
    <mergeCell ref="B9:D9"/>
    <mergeCell ref="E9:G9"/>
    <mergeCell ref="H9:J9"/>
    <mergeCell ref="B10:D10"/>
    <mergeCell ref="E10:G10"/>
    <mergeCell ref="H10:J10"/>
    <mergeCell ref="B11:D11"/>
    <mergeCell ref="E11:G11"/>
    <mergeCell ref="H11:J11"/>
    <mergeCell ref="B13:D13"/>
    <mergeCell ref="E13:G13"/>
    <mergeCell ref="H13:J13"/>
    <mergeCell ref="B14:D14"/>
    <mergeCell ref="E14:G14"/>
    <mergeCell ref="H14:J14"/>
    <mergeCell ref="B15:D15"/>
    <mergeCell ref="E15:G15"/>
    <mergeCell ref="H15:J15"/>
    <mergeCell ref="B16:D16"/>
    <mergeCell ref="E16:G16"/>
    <mergeCell ref="H16:J16"/>
    <mergeCell ref="B18:J18"/>
    <mergeCell ref="B32:C32"/>
    <mergeCell ref="B35:J35"/>
    <mergeCell ref="D36:J36"/>
    <mergeCell ref="D37:J37"/>
    <mergeCell ref="D38:J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4"/>
  </cols>
  <sheetData>
    <row r="1" customFormat="false" ht="21.75" hidden="false" customHeight="true" outlineLevel="0" collapsed="false">
      <c r="B1" s="48" t="s">
        <v>50</v>
      </c>
      <c r="C1" s="48"/>
      <c r="D1" s="48"/>
      <c r="E1" s="48"/>
      <c r="F1" s="48"/>
      <c r="G1" s="48"/>
      <c r="H1" s="48"/>
    </row>
    <row r="2" customFormat="false" ht="21.75" hidden="false" customHeight="true" outlineLevel="0" collapsed="false">
      <c r="B2" s="48"/>
      <c r="C2" s="48"/>
      <c r="D2" s="48"/>
      <c r="E2" s="48"/>
      <c r="F2" s="48"/>
      <c r="G2" s="48"/>
      <c r="H2" s="48"/>
    </row>
    <row r="3" customFormat="false" ht="21.75" hidden="false" customHeight="true" outlineLevel="0" collapsed="false"/>
    <row r="4" customFormat="false" ht="21.75" hidden="false" customHeight="true" outlineLevel="0" collapsed="false">
      <c r="B4" s="49" t="s">
        <v>51</v>
      </c>
      <c r="C4" s="49"/>
      <c r="D4" s="50" t="s">
        <v>52</v>
      </c>
      <c r="E4" s="50"/>
      <c r="F4" s="51" t="s">
        <v>53</v>
      </c>
      <c r="G4" s="51"/>
    </row>
    <row r="5" customFormat="false" ht="18.75" hidden="false" customHeight="true" outlineLevel="0" collapsed="false">
      <c r="B5" s="52" t="n">
        <f aca="false">SUMIF(C8:C107,"Receita",E8:E107)</f>
        <v>0</v>
      </c>
      <c r="C5" s="52"/>
      <c r="D5" s="53" t="n">
        <f aca="false">SUMIF(C8:C107,"Despesa",E8:E107)</f>
        <v>0</v>
      </c>
      <c r="E5" s="53"/>
      <c r="F5" s="54" t="n">
        <f aca="false">B5-D5</f>
        <v>0</v>
      </c>
      <c r="G5" s="54"/>
    </row>
    <row r="6" customFormat="false" ht="18.75" hidden="false" customHeight="true" outlineLevel="0" collapsed="false"/>
    <row r="7" customFormat="false" ht="18.75" hidden="false" customHeight="true" outlineLevel="0" collapsed="false">
      <c r="B7" s="24" t="s">
        <v>54</v>
      </c>
      <c r="C7" s="24" t="s">
        <v>55</v>
      </c>
      <c r="D7" s="24" t="s">
        <v>20</v>
      </c>
      <c r="E7" s="24" t="s">
        <v>19</v>
      </c>
      <c r="F7" s="24" t="s">
        <v>56</v>
      </c>
      <c r="G7" s="24" t="s">
        <v>25</v>
      </c>
      <c r="H7" s="24" t="s">
        <v>57</v>
      </c>
      <c r="I7" s="24" t="s">
        <v>58</v>
      </c>
    </row>
    <row r="8" customFormat="false" ht="18.75" hidden="false" customHeight="true" outlineLevel="0" collapsed="false">
      <c r="B8" s="55" t="s">
        <v>59</v>
      </c>
      <c r="C8" s="56" t="s">
        <v>60</v>
      </c>
      <c r="D8" s="55" t="s">
        <v>61</v>
      </c>
      <c r="E8" s="55" t="s">
        <v>62</v>
      </c>
      <c r="F8" s="57" t="n">
        <v>3500</v>
      </c>
      <c r="G8" s="55" t="s">
        <v>63</v>
      </c>
      <c r="H8" s="55" t="s">
        <v>64</v>
      </c>
      <c r="I8" s="55" t="s">
        <v>65</v>
      </c>
    </row>
    <row r="9" customFormat="false" ht="18.75" hidden="false" customHeight="true" outlineLevel="0" collapsed="false">
      <c r="B9" s="58" t="s">
        <v>59</v>
      </c>
      <c r="C9" s="59" t="s">
        <v>66</v>
      </c>
      <c r="D9" s="58" t="s">
        <v>61</v>
      </c>
      <c r="E9" s="58" t="s">
        <v>62</v>
      </c>
      <c r="F9" s="60" t="n">
        <v>500</v>
      </c>
      <c r="G9" s="58" t="s">
        <v>63</v>
      </c>
      <c r="H9" s="58" t="s">
        <v>67</v>
      </c>
      <c r="I9" s="58" t="s">
        <v>68</v>
      </c>
    </row>
    <row r="10" customFormat="false" ht="18.75" hidden="false" customHeight="true" outlineLevel="0" collapsed="false">
      <c r="B10" s="55" t="s">
        <v>69</v>
      </c>
      <c r="C10" s="56" t="s">
        <v>70</v>
      </c>
      <c r="D10" s="55" t="s">
        <v>71</v>
      </c>
      <c r="E10" s="55" t="s">
        <v>26</v>
      </c>
      <c r="F10" s="57" t="n">
        <v>1200</v>
      </c>
      <c r="G10" s="55" t="s">
        <v>72</v>
      </c>
      <c r="H10" s="55" t="s">
        <v>73</v>
      </c>
      <c r="I10" s="55" t="s">
        <v>74</v>
      </c>
    </row>
    <row r="11" customFormat="false" ht="18.75" hidden="false" customHeight="true" outlineLevel="0" collapsed="false">
      <c r="B11" s="58" t="s">
        <v>75</v>
      </c>
      <c r="C11" s="59" t="s">
        <v>76</v>
      </c>
      <c r="D11" s="58" t="s">
        <v>71</v>
      </c>
      <c r="E11" s="58" t="s">
        <v>30</v>
      </c>
      <c r="F11" s="60" t="n">
        <v>450</v>
      </c>
      <c r="G11" s="58" t="s">
        <v>72</v>
      </c>
      <c r="H11" s="58" t="s">
        <v>77</v>
      </c>
      <c r="I11" s="58" t="s">
        <v>78</v>
      </c>
    </row>
    <row r="12" customFormat="false" ht="18.75" hidden="false" customHeight="true" outlineLevel="0" collapsed="false">
      <c r="B12" s="55" t="s">
        <v>79</v>
      </c>
      <c r="C12" s="56" t="s">
        <v>80</v>
      </c>
      <c r="D12" s="55" t="s">
        <v>71</v>
      </c>
      <c r="E12" s="55" t="s">
        <v>28</v>
      </c>
      <c r="F12" s="57" t="n">
        <v>150</v>
      </c>
      <c r="G12" s="55" t="s">
        <v>72</v>
      </c>
      <c r="H12" s="55" t="s">
        <v>81</v>
      </c>
      <c r="I12" s="55"/>
    </row>
    <row r="13" customFormat="false" ht="18.75" hidden="false" customHeight="true" outlineLevel="0" collapsed="false">
      <c r="B13" s="58" t="s">
        <v>82</v>
      </c>
      <c r="C13" s="59" t="s">
        <v>83</v>
      </c>
      <c r="D13" s="58" t="s">
        <v>71</v>
      </c>
      <c r="E13" s="58" t="s">
        <v>29</v>
      </c>
      <c r="F13" s="60" t="n">
        <v>200</v>
      </c>
      <c r="G13" s="58" t="s">
        <v>72</v>
      </c>
      <c r="H13" s="58" t="s">
        <v>84</v>
      </c>
      <c r="I13" s="58"/>
    </row>
    <row r="14" customFormat="false" ht="18.75" hidden="false" customHeight="true" outlineLevel="0" collapsed="false">
      <c r="B14" s="55" t="s">
        <v>85</v>
      </c>
      <c r="C14" s="56" t="s">
        <v>86</v>
      </c>
      <c r="D14" s="55" t="s">
        <v>71</v>
      </c>
      <c r="E14" s="55" t="s">
        <v>38</v>
      </c>
      <c r="F14" s="57" t="n">
        <v>500</v>
      </c>
      <c r="G14" s="55" t="s">
        <v>72</v>
      </c>
      <c r="H14" s="55" t="s">
        <v>87</v>
      </c>
      <c r="I14" s="55" t="s">
        <v>88</v>
      </c>
    </row>
    <row r="15" customFormat="false" ht="18.75" hidden="false" customHeight="true" outlineLevel="0" collapsed="false">
      <c r="B15" s="58" t="s">
        <v>89</v>
      </c>
      <c r="C15" s="59" t="s">
        <v>90</v>
      </c>
      <c r="D15" s="58" t="s">
        <v>71</v>
      </c>
      <c r="E15" s="58" t="s">
        <v>32</v>
      </c>
      <c r="F15" s="60" t="n">
        <v>100</v>
      </c>
      <c r="G15" s="58" t="s">
        <v>91</v>
      </c>
      <c r="H15" s="58" t="s">
        <v>92</v>
      </c>
      <c r="I15" s="58"/>
    </row>
    <row r="16" customFormat="false" ht="18.75" hidden="false" customHeight="true" outlineLevel="0" collapsed="false">
      <c r="B16" s="55" t="s">
        <v>93</v>
      </c>
      <c r="C16" s="56" t="s">
        <v>94</v>
      </c>
      <c r="D16" s="55" t="s">
        <v>71</v>
      </c>
      <c r="E16" s="55" t="s">
        <v>36</v>
      </c>
      <c r="F16" s="57" t="n">
        <v>60</v>
      </c>
      <c r="G16" s="55" t="s">
        <v>91</v>
      </c>
      <c r="H16" s="55" t="s">
        <v>95</v>
      </c>
      <c r="I16" s="55"/>
    </row>
    <row r="17" customFormat="false" ht="18.75" hidden="false" customHeight="true" outlineLevel="0" collapsed="false">
      <c r="B17" s="61"/>
      <c r="C17" s="61"/>
      <c r="D17" s="61"/>
      <c r="E17" s="61"/>
      <c r="F17" s="62"/>
      <c r="G17" s="61"/>
      <c r="H17" s="61"/>
      <c r="I17" s="61"/>
    </row>
    <row r="18" customFormat="false" ht="18.75" hidden="false" customHeight="true" outlineLevel="0" collapsed="false">
      <c r="B18" s="63"/>
      <c r="C18" s="63"/>
      <c r="D18" s="63"/>
      <c r="E18" s="63"/>
      <c r="F18" s="64"/>
      <c r="G18" s="63"/>
      <c r="H18" s="63"/>
      <c r="I18" s="63"/>
    </row>
    <row r="19" customFormat="false" ht="18.75" hidden="false" customHeight="true" outlineLevel="0" collapsed="false">
      <c r="B19" s="61"/>
      <c r="C19" s="61"/>
      <c r="D19" s="61"/>
      <c r="E19" s="61"/>
      <c r="F19" s="62"/>
      <c r="G19" s="61"/>
      <c r="H19" s="61"/>
      <c r="I19" s="61"/>
    </row>
    <row r="20" customFormat="false" ht="18.75" hidden="false" customHeight="true" outlineLevel="0" collapsed="false">
      <c r="B20" s="63"/>
      <c r="C20" s="63"/>
      <c r="D20" s="63"/>
      <c r="E20" s="63"/>
      <c r="F20" s="64"/>
      <c r="G20" s="63"/>
      <c r="H20" s="63"/>
      <c r="I20" s="63"/>
    </row>
    <row r="21" customFormat="false" ht="18.75" hidden="false" customHeight="true" outlineLevel="0" collapsed="false">
      <c r="B21" s="61"/>
      <c r="C21" s="61"/>
      <c r="D21" s="61"/>
      <c r="E21" s="61"/>
      <c r="F21" s="62"/>
      <c r="G21" s="61"/>
      <c r="H21" s="61"/>
      <c r="I21" s="61"/>
    </row>
    <row r="22" customFormat="false" ht="18.75" hidden="false" customHeight="true" outlineLevel="0" collapsed="false">
      <c r="B22" s="63"/>
      <c r="C22" s="63"/>
      <c r="D22" s="63"/>
      <c r="E22" s="63"/>
      <c r="F22" s="64"/>
      <c r="G22" s="63"/>
      <c r="H22" s="63"/>
      <c r="I22" s="63"/>
    </row>
    <row r="23" customFormat="false" ht="18.75" hidden="false" customHeight="true" outlineLevel="0" collapsed="false">
      <c r="B23" s="61"/>
      <c r="C23" s="61"/>
      <c r="D23" s="61"/>
      <c r="E23" s="61"/>
      <c r="F23" s="62"/>
      <c r="G23" s="61"/>
      <c r="H23" s="61"/>
      <c r="I23" s="61"/>
    </row>
    <row r="24" customFormat="false" ht="18.75" hidden="false" customHeight="true" outlineLevel="0" collapsed="false">
      <c r="B24" s="63"/>
      <c r="C24" s="63"/>
      <c r="D24" s="63"/>
      <c r="E24" s="63"/>
      <c r="F24" s="64"/>
      <c r="G24" s="63"/>
      <c r="H24" s="63"/>
      <c r="I24" s="63"/>
    </row>
    <row r="25" customFormat="false" ht="18.75" hidden="false" customHeight="true" outlineLevel="0" collapsed="false">
      <c r="B25" s="61"/>
      <c r="C25" s="61"/>
      <c r="D25" s="61"/>
      <c r="E25" s="61"/>
      <c r="F25" s="62"/>
      <c r="G25" s="61"/>
      <c r="H25" s="61"/>
      <c r="I25" s="61"/>
    </row>
    <row r="26" customFormat="false" ht="18.75" hidden="false" customHeight="true" outlineLevel="0" collapsed="false">
      <c r="B26" s="63"/>
      <c r="C26" s="63"/>
      <c r="D26" s="63"/>
      <c r="E26" s="63"/>
      <c r="F26" s="64"/>
      <c r="G26" s="63"/>
      <c r="H26" s="63"/>
      <c r="I26" s="63"/>
    </row>
    <row r="27" customFormat="false" ht="18.75" hidden="false" customHeight="true" outlineLevel="0" collapsed="false">
      <c r="B27" s="61"/>
      <c r="C27" s="61"/>
      <c r="D27" s="61"/>
      <c r="E27" s="61"/>
      <c r="F27" s="62"/>
      <c r="G27" s="61"/>
      <c r="H27" s="61"/>
      <c r="I27" s="61"/>
    </row>
    <row r="28" customFormat="false" ht="18.75" hidden="false" customHeight="true" outlineLevel="0" collapsed="false">
      <c r="B28" s="63"/>
      <c r="C28" s="63"/>
      <c r="D28" s="63"/>
      <c r="E28" s="63"/>
      <c r="F28" s="64"/>
      <c r="G28" s="63"/>
      <c r="H28" s="63"/>
      <c r="I28" s="63"/>
    </row>
    <row r="29" customFormat="false" ht="18.75" hidden="false" customHeight="true" outlineLevel="0" collapsed="false">
      <c r="B29" s="61"/>
      <c r="C29" s="61"/>
      <c r="D29" s="61"/>
      <c r="E29" s="61"/>
      <c r="F29" s="62"/>
      <c r="G29" s="61"/>
      <c r="H29" s="61"/>
      <c r="I29" s="61"/>
    </row>
    <row r="30" customFormat="false" ht="18.75" hidden="false" customHeight="true" outlineLevel="0" collapsed="false">
      <c r="B30" s="63"/>
      <c r="C30" s="63"/>
      <c r="D30" s="63"/>
      <c r="E30" s="63"/>
      <c r="F30" s="64"/>
      <c r="G30" s="63"/>
      <c r="H30" s="63"/>
      <c r="I30" s="63"/>
    </row>
    <row r="31" customFormat="false" ht="18.75" hidden="false" customHeight="true" outlineLevel="0" collapsed="false">
      <c r="B31" s="61"/>
      <c r="C31" s="61"/>
      <c r="D31" s="61"/>
      <c r="E31" s="61"/>
      <c r="F31" s="62"/>
      <c r="G31" s="61"/>
      <c r="H31" s="61"/>
      <c r="I31" s="61"/>
    </row>
    <row r="32" customFormat="false" ht="18.75" hidden="false" customHeight="true" outlineLevel="0" collapsed="false">
      <c r="B32" s="63"/>
      <c r="C32" s="63"/>
      <c r="D32" s="63"/>
      <c r="E32" s="63"/>
      <c r="F32" s="64"/>
      <c r="G32" s="63"/>
      <c r="H32" s="63"/>
      <c r="I32" s="63"/>
    </row>
    <row r="33" customFormat="false" ht="18.75" hidden="false" customHeight="true" outlineLevel="0" collapsed="false">
      <c r="B33" s="61"/>
      <c r="C33" s="61"/>
      <c r="D33" s="61"/>
      <c r="E33" s="61"/>
      <c r="F33" s="62"/>
      <c r="G33" s="61"/>
      <c r="H33" s="61"/>
      <c r="I33" s="61"/>
    </row>
    <row r="34" customFormat="false" ht="18.75" hidden="false" customHeight="true" outlineLevel="0" collapsed="false">
      <c r="B34" s="63"/>
      <c r="C34" s="63"/>
      <c r="D34" s="63"/>
      <c r="E34" s="63"/>
      <c r="F34" s="64"/>
      <c r="G34" s="63"/>
      <c r="H34" s="63"/>
      <c r="I34" s="63"/>
    </row>
    <row r="35" customFormat="false" ht="18.75" hidden="false" customHeight="true" outlineLevel="0" collapsed="false">
      <c r="B35" s="61"/>
      <c r="C35" s="61"/>
      <c r="D35" s="61"/>
      <c r="E35" s="61"/>
      <c r="F35" s="62"/>
      <c r="G35" s="61"/>
      <c r="H35" s="61"/>
      <c r="I35" s="61"/>
    </row>
    <row r="36" customFormat="false" ht="18.75" hidden="false" customHeight="true" outlineLevel="0" collapsed="false">
      <c r="B36" s="63"/>
      <c r="C36" s="63"/>
      <c r="D36" s="63"/>
      <c r="E36" s="63"/>
      <c r="F36" s="64"/>
      <c r="G36" s="63"/>
      <c r="H36" s="63"/>
      <c r="I36" s="63"/>
    </row>
    <row r="37" customFormat="false" ht="18.75" hidden="false" customHeight="true" outlineLevel="0" collapsed="false">
      <c r="B37" s="61"/>
      <c r="C37" s="61"/>
      <c r="D37" s="61"/>
      <c r="E37" s="61"/>
      <c r="F37" s="62"/>
      <c r="G37" s="61"/>
      <c r="H37" s="61"/>
      <c r="I37" s="61"/>
    </row>
    <row r="38" customFormat="false" ht="18.75" hidden="false" customHeight="true" outlineLevel="0" collapsed="false">
      <c r="B38" s="63"/>
      <c r="C38" s="63"/>
      <c r="D38" s="63"/>
      <c r="E38" s="63"/>
      <c r="F38" s="64"/>
      <c r="G38" s="63"/>
      <c r="H38" s="63"/>
      <c r="I38" s="63"/>
    </row>
    <row r="39" customFormat="false" ht="18.75" hidden="false" customHeight="true" outlineLevel="0" collapsed="false">
      <c r="B39" s="61"/>
      <c r="C39" s="61"/>
      <c r="D39" s="61"/>
      <c r="E39" s="61"/>
      <c r="F39" s="62"/>
      <c r="G39" s="61"/>
      <c r="H39" s="61"/>
      <c r="I39" s="61"/>
    </row>
    <row r="40" customFormat="false" ht="18.75" hidden="false" customHeight="true" outlineLevel="0" collapsed="false">
      <c r="B40" s="63"/>
      <c r="C40" s="63"/>
      <c r="D40" s="63"/>
      <c r="E40" s="63"/>
      <c r="F40" s="64"/>
      <c r="G40" s="63"/>
      <c r="H40" s="63"/>
      <c r="I40" s="63"/>
    </row>
    <row r="41" customFormat="false" ht="18.75" hidden="false" customHeight="true" outlineLevel="0" collapsed="false">
      <c r="B41" s="61"/>
      <c r="C41" s="61"/>
      <c r="D41" s="61"/>
      <c r="E41" s="61"/>
      <c r="F41" s="62"/>
      <c r="G41" s="61"/>
      <c r="H41" s="61"/>
      <c r="I41" s="61"/>
    </row>
    <row r="42" customFormat="false" ht="18.75" hidden="false" customHeight="true" outlineLevel="0" collapsed="false">
      <c r="B42" s="63"/>
      <c r="C42" s="63"/>
      <c r="D42" s="63"/>
      <c r="E42" s="63"/>
      <c r="F42" s="64"/>
      <c r="G42" s="63"/>
      <c r="H42" s="63"/>
      <c r="I42" s="63"/>
    </row>
    <row r="43" customFormat="false" ht="18.75" hidden="false" customHeight="true" outlineLevel="0" collapsed="false">
      <c r="B43" s="61"/>
      <c r="C43" s="61"/>
      <c r="D43" s="61"/>
      <c r="E43" s="61"/>
      <c r="F43" s="62"/>
      <c r="G43" s="61"/>
      <c r="H43" s="61"/>
      <c r="I43" s="61"/>
    </row>
    <row r="44" customFormat="false" ht="18.75" hidden="false" customHeight="true" outlineLevel="0" collapsed="false">
      <c r="B44" s="63"/>
      <c r="C44" s="63"/>
      <c r="D44" s="63"/>
      <c r="E44" s="63"/>
      <c r="F44" s="64"/>
      <c r="G44" s="63"/>
      <c r="H44" s="63"/>
      <c r="I44" s="63"/>
    </row>
    <row r="45" customFormat="false" ht="18.75" hidden="false" customHeight="true" outlineLevel="0" collapsed="false">
      <c r="B45" s="61"/>
      <c r="C45" s="61"/>
      <c r="D45" s="61"/>
      <c r="E45" s="61"/>
      <c r="F45" s="62"/>
      <c r="G45" s="61"/>
      <c r="H45" s="61"/>
      <c r="I45" s="61"/>
    </row>
    <row r="46" customFormat="false" ht="18.75" hidden="false" customHeight="true" outlineLevel="0" collapsed="false">
      <c r="B46" s="63"/>
      <c r="C46" s="63"/>
      <c r="D46" s="63"/>
      <c r="E46" s="63"/>
      <c r="F46" s="64"/>
      <c r="G46" s="63"/>
      <c r="H46" s="63"/>
      <c r="I46" s="63"/>
    </row>
    <row r="47" customFormat="false" ht="18.75" hidden="false" customHeight="true" outlineLevel="0" collapsed="false">
      <c r="B47" s="61"/>
      <c r="C47" s="61"/>
      <c r="D47" s="61"/>
      <c r="E47" s="61"/>
      <c r="F47" s="62"/>
      <c r="G47" s="61"/>
      <c r="H47" s="61"/>
      <c r="I47" s="61"/>
    </row>
    <row r="48" customFormat="false" ht="18.75" hidden="false" customHeight="true" outlineLevel="0" collapsed="false">
      <c r="B48" s="63"/>
      <c r="C48" s="63"/>
      <c r="D48" s="63"/>
      <c r="E48" s="63"/>
      <c r="F48" s="64"/>
      <c r="G48" s="63"/>
      <c r="H48" s="63"/>
      <c r="I48" s="63"/>
    </row>
    <row r="49" customFormat="false" ht="18.75" hidden="false" customHeight="true" outlineLevel="0" collapsed="false">
      <c r="B49" s="61"/>
      <c r="C49" s="61"/>
      <c r="D49" s="61"/>
      <c r="E49" s="61"/>
      <c r="F49" s="62"/>
      <c r="G49" s="61"/>
      <c r="H49" s="61"/>
      <c r="I49" s="61"/>
    </row>
    <row r="50" customFormat="false" ht="18.75" hidden="false" customHeight="true" outlineLevel="0" collapsed="false">
      <c r="B50" s="63"/>
      <c r="C50" s="63"/>
      <c r="D50" s="63"/>
      <c r="E50" s="63"/>
      <c r="F50" s="64"/>
      <c r="G50" s="63"/>
      <c r="H50" s="63"/>
      <c r="I50" s="63"/>
    </row>
    <row r="51" customFormat="false" ht="18.75" hidden="false" customHeight="true" outlineLevel="0" collapsed="false">
      <c r="B51" s="61"/>
      <c r="C51" s="61"/>
      <c r="D51" s="61"/>
      <c r="E51" s="61"/>
      <c r="F51" s="62"/>
      <c r="G51" s="61"/>
      <c r="H51" s="61"/>
      <c r="I51" s="61"/>
    </row>
    <row r="52" customFormat="false" ht="18.75" hidden="false" customHeight="true" outlineLevel="0" collapsed="false">
      <c r="B52" s="63"/>
      <c r="C52" s="63"/>
      <c r="D52" s="63"/>
      <c r="E52" s="63"/>
      <c r="F52" s="64"/>
      <c r="G52" s="63"/>
      <c r="H52" s="63"/>
      <c r="I52" s="63"/>
    </row>
    <row r="53" customFormat="false" ht="18.75" hidden="false" customHeight="true" outlineLevel="0" collapsed="false">
      <c r="B53" s="61"/>
      <c r="C53" s="61"/>
      <c r="D53" s="61"/>
      <c r="E53" s="61"/>
      <c r="F53" s="62"/>
      <c r="G53" s="61"/>
      <c r="H53" s="61"/>
      <c r="I53" s="61"/>
    </row>
    <row r="54" customFormat="false" ht="18.75" hidden="false" customHeight="true" outlineLevel="0" collapsed="false">
      <c r="B54" s="63"/>
      <c r="C54" s="63"/>
      <c r="D54" s="63"/>
      <c r="E54" s="63"/>
      <c r="F54" s="64"/>
      <c r="G54" s="63"/>
      <c r="H54" s="63"/>
      <c r="I54" s="63"/>
    </row>
    <row r="55" customFormat="false" ht="18.75" hidden="false" customHeight="true" outlineLevel="0" collapsed="false">
      <c r="B55" s="61"/>
      <c r="C55" s="61"/>
      <c r="D55" s="61"/>
      <c r="E55" s="61"/>
      <c r="F55" s="62"/>
      <c r="G55" s="61"/>
      <c r="H55" s="61"/>
      <c r="I55" s="61"/>
    </row>
    <row r="56" customFormat="false" ht="18.75" hidden="false" customHeight="true" outlineLevel="0" collapsed="false">
      <c r="B56" s="63"/>
      <c r="C56" s="63"/>
      <c r="D56" s="63"/>
      <c r="E56" s="63"/>
      <c r="F56" s="64"/>
      <c r="G56" s="63"/>
      <c r="H56" s="63"/>
      <c r="I56" s="63"/>
    </row>
    <row r="57" customFormat="false" ht="18.75" hidden="false" customHeight="true" outlineLevel="0" collapsed="false">
      <c r="B57" s="61"/>
      <c r="C57" s="61"/>
      <c r="D57" s="61"/>
      <c r="E57" s="61"/>
      <c r="F57" s="62"/>
      <c r="G57" s="61"/>
      <c r="H57" s="61"/>
      <c r="I57" s="61"/>
    </row>
    <row r="58" customFormat="false" ht="18.75" hidden="false" customHeight="true" outlineLevel="0" collapsed="false">
      <c r="B58" s="63"/>
      <c r="C58" s="63"/>
      <c r="D58" s="63"/>
      <c r="E58" s="63"/>
      <c r="F58" s="64"/>
      <c r="G58" s="63"/>
      <c r="H58" s="63"/>
      <c r="I58" s="63"/>
    </row>
    <row r="59" customFormat="false" ht="18.75" hidden="false" customHeight="true" outlineLevel="0" collapsed="false">
      <c r="B59" s="61"/>
      <c r="C59" s="61"/>
      <c r="D59" s="61"/>
      <c r="E59" s="61"/>
      <c r="F59" s="62"/>
      <c r="G59" s="61"/>
      <c r="H59" s="61"/>
      <c r="I59" s="61"/>
    </row>
    <row r="60" customFormat="false" ht="18.75" hidden="false" customHeight="true" outlineLevel="0" collapsed="false">
      <c r="B60" s="63"/>
      <c r="C60" s="63"/>
      <c r="D60" s="63"/>
      <c r="E60" s="63"/>
      <c r="F60" s="64"/>
      <c r="G60" s="63"/>
      <c r="H60" s="63"/>
      <c r="I60" s="63"/>
    </row>
    <row r="61" customFormat="false" ht="18.75" hidden="false" customHeight="true" outlineLevel="0" collapsed="false">
      <c r="B61" s="61"/>
      <c r="C61" s="61"/>
      <c r="D61" s="61"/>
      <c r="E61" s="61"/>
      <c r="F61" s="62"/>
      <c r="G61" s="61"/>
      <c r="H61" s="61"/>
      <c r="I61" s="61"/>
    </row>
    <row r="62" customFormat="false" ht="18.75" hidden="false" customHeight="true" outlineLevel="0" collapsed="false">
      <c r="B62" s="63"/>
      <c r="C62" s="63"/>
      <c r="D62" s="63"/>
      <c r="E62" s="63"/>
      <c r="F62" s="64"/>
      <c r="G62" s="63"/>
      <c r="H62" s="63"/>
      <c r="I62" s="63"/>
    </row>
    <row r="63" customFormat="false" ht="18.75" hidden="false" customHeight="true" outlineLevel="0" collapsed="false">
      <c r="B63" s="61"/>
      <c r="C63" s="61"/>
      <c r="D63" s="61"/>
      <c r="E63" s="61"/>
      <c r="F63" s="62"/>
      <c r="G63" s="61"/>
      <c r="H63" s="61"/>
      <c r="I63" s="61"/>
    </row>
    <row r="64" customFormat="false" ht="18.75" hidden="false" customHeight="true" outlineLevel="0" collapsed="false">
      <c r="B64" s="63"/>
      <c r="C64" s="63"/>
      <c r="D64" s="63"/>
      <c r="E64" s="63"/>
      <c r="F64" s="64"/>
      <c r="G64" s="63"/>
      <c r="H64" s="63"/>
      <c r="I64" s="63"/>
    </row>
    <row r="65" customFormat="false" ht="18.75" hidden="false" customHeight="true" outlineLevel="0" collapsed="false">
      <c r="B65" s="61"/>
      <c r="C65" s="61"/>
      <c r="D65" s="61"/>
      <c r="E65" s="61"/>
      <c r="F65" s="62"/>
      <c r="G65" s="61"/>
      <c r="H65" s="61"/>
      <c r="I65" s="61"/>
    </row>
    <row r="66" customFormat="false" ht="18.75" hidden="false" customHeight="true" outlineLevel="0" collapsed="false">
      <c r="B66" s="63"/>
      <c r="C66" s="63"/>
      <c r="D66" s="63"/>
      <c r="E66" s="63"/>
      <c r="F66" s="64"/>
      <c r="G66" s="63"/>
      <c r="H66" s="63"/>
      <c r="I66" s="63"/>
    </row>
    <row r="67" customFormat="false" ht="18.75" hidden="false" customHeight="true" outlineLevel="0" collapsed="false">
      <c r="B67" s="61"/>
      <c r="C67" s="61"/>
      <c r="D67" s="61"/>
      <c r="E67" s="61"/>
      <c r="F67" s="62"/>
      <c r="G67" s="61"/>
      <c r="H67" s="61"/>
      <c r="I67" s="61"/>
    </row>
    <row r="68" customFormat="false" ht="18.75" hidden="false" customHeight="true" outlineLevel="0" collapsed="false">
      <c r="B68" s="63"/>
      <c r="C68" s="63"/>
      <c r="D68" s="63"/>
      <c r="E68" s="63"/>
      <c r="F68" s="64"/>
      <c r="G68" s="63"/>
      <c r="H68" s="63"/>
      <c r="I68" s="63"/>
    </row>
    <row r="69" customFormat="false" ht="18.75" hidden="false" customHeight="true" outlineLevel="0" collapsed="false">
      <c r="B69" s="61"/>
      <c r="C69" s="61"/>
      <c r="D69" s="61"/>
      <c r="E69" s="61"/>
      <c r="F69" s="62"/>
      <c r="G69" s="61"/>
      <c r="H69" s="61"/>
      <c r="I69" s="61"/>
    </row>
    <row r="70" customFormat="false" ht="18.75" hidden="false" customHeight="true" outlineLevel="0" collapsed="false">
      <c r="B70" s="63"/>
      <c r="C70" s="63"/>
      <c r="D70" s="63"/>
      <c r="E70" s="63"/>
      <c r="F70" s="64"/>
      <c r="G70" s="63"/>
      <c r="H70" s="63"/>
      <c r="I70" s="63"/>
    </row>
    <row r="71" customFormat="false" ht="18.75" hidden="false" customHeight="true" outlineLevel="0" collapsed="false">
      <c r="B71" s="61"/>
      <c r="C71" s="61"/>
      <c r="D71" s="61"/>
      <c r="E71" s="61"/>
      <c r="F71" s="62"/>
      <c r="G71" s="61"/>
      <c r="H71" s="61"/>
      <c r="I71" s="61"/>
    </row>
    <row r="72" customFormat="false" ht="18.75" hidden="false" customHeight="true" outlineLevel="0" collapsed="false">
      <c r="B72" s="63"/>
      <c r="C72" s="63"/>
      <c r="D72" s="63"/>
      <c r="E72" s="63"/>
      <c r="F72" s="64"/>
      <c r="G72" s="63"/>
      <c r="H72" s="63"/>
      <c r="I72" s="63"/>
    </row>
    <row r="73" customFormat="false" ht="18.75" hidden="false" customHeight="true" outlineLevel="0" collapsed="false">
      <c r="B73" s="61"/>
      <c r="C73" s="61"/>
      <c r="D73" s="61"/>
      <c r="E73" s="61"/>
      <c r="F73" s="62"/>
      <c r="G73" s="61"/>
      <c r="H73" s="61"/>
      <c r="I73" s="61"/>
    </row>
    <row r="74" customFormat="false" ht="18.75" hidden="false" customHeight="true" outlineLevel="0" collapsed="false">
      <c r="B74" s="63"/>
      <c r="C74" s="63"/>
      <c r="D74" s="63"/>
      <c r="E74" s="63"/>
      <c r="F74" s="64"/>
      <c r="G74" s="63"/>
      <c r="H74" s="63"/>
      <c r="I74" s="63"/>
    </row>
    <row r="75" customFormat="false" ht="18.75" hidden="false" customHeight="true" outlineLevel="0" collapsed="false">
      <c r="B75" s="61"/>
      <c r="C75" s="61"/>
      <c r="D75" s="61"/>
      <c r="E75" s="61"/>
      <c r="F75" s="62"/>
      <c r="G75" s="61"/>
      <c r="H75" s="61"/>
      <c r="I75" s="61"/>
    </row>
    <row r="76" customFormat="false" ht="18.75" hidden="false" customHeight="true" outlineLevel="0" collapsed="false">
      <c r="B76" s="63"/>
      <c r="C76" s="63"/>
      <c r="D76" s="63"/>
      <c r="E76" s="63"/>
      <c r="F76" s="64"/>
      <c r="G76" s="63"/>
      <c r="H76" s="63"/>
      <c r="I76" s="63"/>
    </row>
    <row r="77" customFormat="false" ht="18.75" hidden="false" customHeight="true" outlineLevel="0" collapsed="false">
      <c r="B77" s="61"/>
      <c r="C77" s="61"/>
      <c r="D77" s="61"/>
      <c r="E77" s="61"/>
      <c r="F77" s="62"/>
      <c r="G77" s="61"/>
      <c r="H77" s="61"/>
      <c r="I77" s="61"/>
    </row>
    <row r="78" customFormat="false" ht="18.75" hidden="false" customHeight="true" outlineLevel="0" collapsed="false">
      <c r="B78" s="63"/>
      <c r="C78" s="63"/>
      <c r="D78" s="63"/>
      <c r="E78" s="63"/>
      <c r="F78" s="64"/>
      <c r="G78" s="63"/>
      <c r="H78" s="63"/>
      <c r="I78" s="63"/>
    </row>
    <row r="79" customFormat="false" ht="18.75" hidden="false" customHeight="true" outlineLevel="0" collapsed="false">
      <c r="B79" s="61"/>
      <c r="C79" s="61"/>
      <c r="D79" s="61"/>
      <c r="E79" s="61"/>
      <c r="F79" s="62"/>
      <c r="G79" s="61"/>
      <c r="H79" s="61"/>
      <c r="I79" s="61"/>
    </row>
    <row r="80" customFormat="false" ht="18.75" hidden="false" customHeight="true" outlineLevel="0" collapsed="false">
      <c r="B80" s="63"/>
      <c r="C80" s="63"/>
      <c r="D80" s="63"/>
      <c r="E80" s="63"/>
      <c r="F80" s="64"/>
      <c r="G80" s="63"/>
      <c r="H80" s="63"/>
      <c r="I80" s="63"/>
    </row>
    <row r="81" customFormat="false" ht="18.75" hidden="false" customHeight="true" outlineLevel="0" collapsed="false">
      <c r="B81" s="61"/>
      <c r="C81" s="61"/>
      <c r="D81" s="61"/>
      <c r="E81" s="61"/>
      <c r="F81" s="62"/>
      <c r="G81" s="61"/>
      <c r="H81" s="61"/>
      <c r="I81" s="61"/>
    </row>
    <row r="82" customFormat="false" ht="18.75" hidden="false" customHeight="true" outlineLevel="0" collapsed="false">
      <c r="B82" s="63"/>
      <c r="C82" s="63"/>
      <c r="D82" s="63"/>
      <c r="E82" s="63"/>
      <c r="F82" s="64"/>
      <c r="G82" s="63"/>
      <c r="H82" s="63"/>
      <c r="I82" s="63"/>
    </row>
    <row r="83" customFormat="false" ht="18.75" hidden="false" customHeight="true" outlineLevel="0" collapsed="false">
      <c r="B83" s="61"/>
      <c r="C83" s="61"/>
      <c r="D83" s="61"/>
      <c r="E83" s="61"/>
      <c r="F83" s="62"/>
      <c r="G83" s="61"/>
      <c r="H83" s="61"/>
      <c r="I83" s="61"/>
    </row>
    <row r="84" customFormat="false" ht="18.75" hidden="false" customHeight="true" outlineLevel="0" collapsed="false">
      <c r="B84" s="63"/>
      <c r="C84" s="63"/>
      <c r="D84" s="63"/>
      <c r="E84" s="63"/>
      <c r="F84" s="64"/>
      <c r="G84" s="63"/>
      <c r="H84" s="63"/>
      <c r="I84" s="63"/>
    </row>
    <row r="85" customFormat="false" ht="18.75" hidden="false" customHeight="true" outlineLevel="0" collapsed="false">
      <c r="B85" s="61"/>
      <c r="C85" s="61"/>
      <c r="D85" s="61"/>
      <c r="E85" s="61"/>
      <c r="F85" s="62"/>
      <c r="G85" s="61"/>
      <c r="H85" s="61"/>
      <c r="I85" s="61"/>
    </row>
    <row r="86" customFormat="false" ht="18.75" hidden="false" customHeight="true" outlineLevel="0" collapsed="false">
      <c r="B86" s="63"/>
      <c r="C86" s="63"/>
      <c r="D86" s="63"/>
      <c r="E86" s="63"/>
      <c r="F86" s="64"/>
      <c r="G86" s="63"/>
      <c r="H86" s="63"/>
      <c r="I86" s="63"/>
    </row>
    <row r="87" customFormat="false" ht="18.75" hidden="false" customHeight="true" outlineLevel="0" collapsed="false">
      <c r="B87" s="61"/>
      <c r="C87" s="61"/>
      <c r="D87" s="61"/>
      <c r="E87" s="61"/>
      <c r="F87" s="62"/>
      <c r="G87" s="61"/>
      <c r="H87" s="61"/>
      <c r="I87" s="61"/>
    </row>
    <row r="88" customFormat="false" ht="18.75" hidden="false" customHeight="true" outlineLevel="0" collapsed="false">
      <c r="B88" s="63"/>
      <c r="C88" s="63"/>
      <c r="D88" s="63"/>
      <c r="E88" s="63"/>
      <c r="F88" s="64"/>
      <c r="G88" s="63"/>
      <c r="H88" s="63"/>
      <c r="I88" s="63"/>
    </row>
    <row r="89" customFormat="false" ht="18.75" hidden="false" customHeight="true" outlineLevel="0" collapsed="false">
      <c r="B89" s="61"/>
      <c r="C89" s="61"/>
      <c r="D89" s="61"/>
      <c r="E89" s="61"/>
      <c r="F89" s="62"/>
      <c r="G89" s="61"/>
      <c r="H89" s="61"/>
      <c r="I89" s="61"/>
    </row>
    <row r="90" customFormat="false" ht="18.75" hidden="false" customHeight="true" outlineLevel="0" collapsed="false">
      <c r="B90" s="63"/>
      <c r="C90" s="63"/>
      <c r="D90" s="63"/>
      <c r="E90" s="63"/>
      <c r="F90" s="64"/>
      <c r="G90" s="63"/>
      <c r="H90" s="63"/>
      <c r="I90" s="63"/>
    </row>
    <row r="91" customFormat="false" ht="18.75" hidden="false" customHeight="true" outlineLevel="0" collapsed="false">
      <c r="B91" s="61"/>
      <c r="C91" s="61"/>
      <c r="D91" s="61"/>
      <c r="E91" s="61"/>
      <c r="F91" s="62"/>
      <c r="G91" s="61"/>
      <c r="H91" s="61"/>
      <c r="I91" s="61"/>
    </row>
    <row r="92" customFormat="false" ht="18.75" hidden="false" customHeight="true" outlineLevel="0" collapsed="false">
      <c r="B92" s="63"/>
      <c r="C92" s="63"/>
      <c r="D92" s="63"/>
      <c r="E92" s="63"/>
      <c r="F92" s="64"/>
      <c r="G92" s="63"/>
      <c r="H92" s="63"/>
      <c r="I92" s="63"/>
    </row>
    <row r="93" customFormat="false" ht="18.75" hidden="false" customHeight="true" outlineLevel="0" collapsed="false">
      <c r="B93" s="61"/>
      <c r="C93" s="61"/>
      <c r="D93" s="61"/>
      <c r="E93" s="61"/>
      <c r="F93" s="62"/>
      <c r="G93" s="61"/>
      <c r="H93" s="61"/>
      <c r="I93" s="61"/>
    </row>
    <row r="94" customFormat="false" ht="18.75" hidden="false" customHeight="true" outlineLevel="0" collapsed="false">
      <c r="B94" s="63"/>
      <c r="C94" s="63"/>
      <c r="D94" s="63"/>
      <c r="E94" s="63"/>
      <c r="F94" s="64"/>
      <c r="G94" s="63"/>
      <c r="H94" s="63"/>
      <c r="I94" s="63"/>
    </row>
    <row r="95" customFormat="false" ht="18.75" hidden="false" customHeight="true" outlineLevel="0" collapsed="false">
      <c r="B95" s="61"/>
      <c r="C95" s="61"/>
      <c r="D95" s="61"/>
      <c r="E95" s="61"/>
      <c r="F95" s="62"/>
      <c r="G95" s="61"/>
      <c r="H95" s="61"/>
      <c r="I95" s="61"/>
    </row>
    <row r="96" customFormat="false" ht="18.75" hidden="false" customHeight="true" outlineLevel="0" collapsed="false">
      <c r="B96" s="63"/>
      <c r="C96" s="63"/>
      <c r="D96" s="63"/>
      <c r="E96" s="63"/>
      <c r="F96" s="64"/>
      <c r="G96" s="63"/>
      <c r="H96" s="63"/>
      <c r="I96" s="63"/>
    </row>
    <row r="97" customFormat="false" ht="18.75" hidden="false" customHeight="true" outlineLevel="0" collapsed="false">
      <c r="B97" s="61"/>
      <c r="C97" s="61"/>
      <c r="D97" s="61"/>
      <c r="E97" s="61"/>
      <c r="F97" s="62"/>
      <c r="G97" s="61"/>
      <c r="H97" s="61"/>
      <c r="I97" s="61"/>
    </row>
    <row r="98" customFormat="false" ht="18.75" hidden="false" customHeight="true" outlineLevel="0" collapsed="false">
      <c r="B98" s="63"/>
      <c r="C98" s="63"/>
      <c r="D98" s="63"/>
      <c r="E98" s="63"/>
      <c r="F98" s="64"/>
      <c r="G98" s="63"/>
      <c r="H98" s="63"/>
      <c r="I98" s="63"/>
    </row>
    <row r="99" customFormat="false" ht="18.75" hidden="false" customHeight="true" outlineLevel="0" collapsed="false">
      <c r="B99" s="61"/>
      <c r="C99" s="61"/>
      <c r="D99" s="61"/>
      <c r="E99" s="61"/>
      <c r="F99" s="62"/>
      <c r="G99" s="61"/>
      <c r="H99" s="61"/>
      <c r="I99" s="61"/>
    </row>
    <row r="100" customFormat="false" ht="18.75" hidden="false" customHeight="true" outlineLevel="0" collapsed="false">
      <c r="B100" s="63"/>
      <c r="C100" s="63"/>
      <c r="D100" s="63"/>
      <c r="E100" s="63"/>
      <c r="F100" s="64"/>
      <c r="G100" s="63"/>
      <c r="H100" s="63"/>
      <c r="I100" s="63"/>
    </row>
    <row r="101" customFormat="false" ht="18.75" hidden="false" customHeight="true" outlineLevel="0" collapsed="false">
      <c r="B101" s="61"/>
      <c r="C101" s="61"/>
      <c r="D101" s="61"/>
      <c r="E101" s="61"/>
      <c r="F101" s="62"/>
      <c r="G101" s="61"/>
      <c r="H101" s="61"/>
      <c r="I101" s="61"/>
    </row>
    <row r="102" customFormat="false" ht="18.75" hidden="false" customHeight="true" outlineLevel="0" collapsed="false">
      <c r="B102" s="63"/>
      <c r="C102" s="63"/>
      <c r="D102" s="63"/>
      <c r="E102" s="63"/>
      <c r="F102" s="64"/>
      <c r="G102" s="63"/>
      <c r="H102" s="63"/>
      <c r="I102" s="63"/>
    </row>
    <row r="103" customFormat="false" ht="18.75" hidden="false" customHeight="true" outlineLevel="0" collapsed="false">
      <c r="B103" s="61"/>
      <c r="C103" s="61"/>
      <c r="D103" s="61"/>
      <c r="E103" s="61"/>
      <c r="F103" s="62"/>
      <c r="G103" s="61"/>
      <c r="H103" s="61"/>
      <c r="I103" s="61"/>
    </row>
    <row r="104" customFormat="false" ht="18.75" hidden="false" customHeight="true" outlineLevel="0" collapsed="false">
      <c r="B104" s="63"/>
      <c r="C104" s="63"/>
      <c r="D104" s="63"/>
      <c r="E104" s="63"/>
      <c r="F104" s="64"/>
      <c r="G104" s="63"/>
      <c r="H104" s="63"/>
      <c r="I104" s="63"/>
    </row>
    <row r="105" customFormat="false" ht="18.75" hidden="false" customHeight="true" outlineLevel="0" collapsed="false">
      <c r="B105" s="61"/>
      <c r="C105" s="61"/>
      <c r="D105" s="61"/>
      <c r="E105" s="61"/>
      <c r="F105" s="62"/>
      <c r="G105" s="61"/>
      <c r="H105" s="61"/>
      <c r="I105" s="61"/>
    </row>
    <row r="106" customFormat="false" ht="18.75" hidden="false" customHeight="true" outlineLevel="0" collapsed="false">
      <c r="B106" s="63"/>
      <c r="C106" s="63"/>
      <c r="D106" s="63"/>
      <c r="E106" s="63"/>
      <c r="F106" s="64"/>
      <c r="G106" s="63"/>
      <c r="H106" s="63"/>
      <c r="I106" s="63"/>
    </row>
    <row r="107" customFormat="false" ht="18.75" hidden="false" customHeight="true" outlineLevel="0" collapsed="false">
      <c r="B107" s="61"/>
      <c r="C107" s="61"/>
      <c r="D107" s="61"/>
      <c r="E107" s="61"/>
      <c r="F107" s="62"/>
      <c r="G107" s="61"/>
      <c r="H107" s="61"/>
      <c r="I107" s="61"/>
    </row>
    <row r="108" customFormat="false" ht="18.75" hidden="false" customHeight="true" outlineLevel="0" collapsed="false">
      <c r="B108" s="65" t="s">
        <v>96</v>
      </c>
      <c r="C108" s="65"/>
      <c r="D108" s="65"/>
      <c r="E108" s="65"/>
      <c r="F108" s="66" t="n">
        <f aca="false">SUM(E8:E107)</f>
        <v>0</v>
      </c>
    </row>
    <row r="109" customFormat="false" ht="18.75" hidden="false" customHeight="true" outlineLevel="0" collapsed="false"/>
    <row r="110" customFormat="false" ht="18.75" hidden="false" customHeight="true" outlineLevel="0" collapsed="false">
      <c r="B110" s="67" t="s">
        <v>97</v>
      </c>
      <c r="C110" s="67"/>
      <c r="D110" s="67"/>
      <c r="E110" s="67"/>
      <c r="F110" s="67"/>
      <c r="G110" s="67"/>
      <c r="H110" s="67"/>
    </row>
    <row r="111" customFormat="false" ht="18.75" hidden="false" customHeight="true" outlineLevel="0" collapsed="false"/>
    <row r="112" customFormat="false" ht="18.75" hidden="false" customHeight="true" outlineLevel="0" collapsed="false"/>
    <row r="113" customFormat="false" ht="18.75" hidden="false" customHeight="true" outlineLevel="0" collapsed="false"/>
    <row r="114" customFormat="false" ht="18.75" hidden="false" customHeight="true" outlineLevel="0" collapsed="false"/>
    <row r="115" customFormat="false" ht="18.75" hidden="false" customHeight="true" outlineLevel="0" collapsed="false"/>
    <row r="116" customFormat="false" ht="18.75" hidden="false" customHeight="true" outlineLevel="0" collapsed="false"/>
    <row r="117" customFormat="false" ht="18.75" hidden="false" customHeight="true" outlineLevel="0" collapsed="false"/>
    <row r="118" customFormat="false" ht="18.75" hidden="false" customHeight="true" outlineLevel="0" collapsed="false"/>
    <row r="119" customFormat="false" ht="18.75" hidden="false" customHeight="true" outlineLevel="0" collapsed="false"/>
  </sheetData>
  <mergeCells count="9">
    <mergeCell ref="B1:H2"/>
    <mergeCell ref="B4:C4"/>
    <mergeCell ref="D4:E4"/>
    <mergeCell ref="F4:G4"/>
    <mergeCell ref="B5:C5"/>
    <mergeCell ref="D5:E5"/>
    <mergeCell ref="F5:G5"/>
    <mergeCell ref="B108:E108"/>
    <mergeCell ref="B110:H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4"/>
  </cols>
  <sheetData>
    <row r="1" customFormat="false" ht="18.75" hidden="false" customHeight="true" outlineLevel="0" collapsed="false">
      <c r="B1" s="48" t="s">
        <v>98</v>
      </c>
      <c r="C1" s="48"/>
      <c r="D1" s="48"/>
      <c r="E1" s="48"/>
      <c r="F1" s="48"/>
      <c r="G1" s="48"/>
      <c r="H1" s="48"/>
    </row>
    <row r="2" customFormat="false" ht="18.75" hidden="false" customHeight="true" outlineLevel="0" collapsed="false">
      <c r="B2" s="48"/>
      <c r="C2" s="48"/>
      <c r="D2" s="48"/>
      <c r="E2" s="48"/>
      <c r="F2" s="48"/>
      <c r="G2" s="48"/>
      <c r="H2" s="48"/>
    </row>
    <row r="3" customFormat="false" ht="18.75" hidden="false" customHeight="true" outlineLevel="0" collapsed="false"/>
    <row r="4" customFormat="false" ht="18.75" hidden="false" customHeight="true" outlineLevel="0" collapsed="false">
      <c r="B4" s="49" t="s">
        <v>51</v>
      </c>
      <c r="C4" s="49"/>
      <c r="D4" s="50" t="s">
        <v>52</v>
      </c>
      <c r="E4" s="50"/>
      <c r="F4" s="51" t="s">
        <v>53</v>
      </c>
      <c r="G4" s="51"/>
    </row>
    <row r="5" customFormat="false" ht="18.75" hidden="false" customHeight="true" outlineLevel="0" collapsed="false">
      <c r="B5" s="52" t="n">
        <f aca="false">SUMIF(C8:C107,"Receita",E8:E107)</f>
        <v>0</v>
      </c>
      <c r="C5" s="52"/>
      <c r="D5" s="53" t="n">
        <f aca="false">SUMIF(C8:C107,"Despesa",E8:E107)</f>
        <v>0</v>
      </c>
      <c r="E5" s="53"/>
      <c r="F5" s="54" t="n">
        <f aca="false">B5-D5</f>
        <v>0</v>
      </c>
      <c r="G5" s="54"/>
    </row>
    <row r="6" customFormat="false" ht="18.75" hidden="false" customHeight="true" outlineLevel="0" collapsed="false"/>
    <row r="7" customFormat="false" ht="18.75" hidden="false" customHeight="true" outlineLevel="0" collapsed="false">
      <c r="B7" s="24" t="s">
        <v>54</v>
      </c>
      <c r="C7" s="24" t="s">
        <v>55</v>
      </c>
      <c r="D7" s="24" t="s">
        <v>20</v>
      </c>
      <c r="E7" s="24" t="s">
        <v>19</v>
      </c>
      <c r="F7" s="24" t="s">
        <v>56</v>
      </c>
      <c r="G7" s="24" t="s">
        <v>25</v>
      </c>
      <c r="H7" s="24" t="s">
        <v>57</v>
      </c>
      <c r="I7" s="24" t="s">
        <v>58</v>
      </c>
    </row>
    <row r="8" customFormat="false" ht="18.75" hidden="false" customHeight="true" outlineLevel="0" collapsed="false">
      <c r="B8" s="55" t="s">
        <v>99</v>
      </c>
      <c r="C8" s="56" t="s">
        <v>60</v>
      </c>
      <c r="D8" s="55" t="s">
        <v>61</v>
      </c>
      <c r="E8" s="55" t="s">
        <v>62</v>
      </c>
      <c r="F8" s="57" t="n">
        <v>3500</v>
      </c>
      <c r="G8" s="55" t="s">
        <v>63</v>
      </c>
      <c r="H8" s="55" t="s">
        <v>64</v>
      </c>
      <c r="I8" s="55" t="s">
        <v>65</v>
      </c>
    </row>
    <row r="9" customFormat="false" ht="18.75" hidden="false" customHeight="true" outlineLevel="0" collapsed="false">
      <c r="B9" s="58" t="s">
        <v>99</v>
      </c>
      <c r="C9" s="59" t="s">
        <v>66</v>
      </c>
      <c r="D9" s="58" t="s">
        <v>61</v>
      </c>
      <c r="E9" s="58" t="s">
        <v>62</v>
      </c>
      <c r="F9" s="60" t="n">
        <v>500</v>
      </c>
      <c r="G9" s="58" t="s">
        <v>63</v>
      </c>
      <c r="H9" s="58" t="s">
        <v>67</v>
      </c>
      <c r="I9" s="58" t="s">
        <v>68</v>
      </c>
    </row>
    <row r="10" customFormat="false" ht="18.75" hidden="false" customHeight="true" outlineLevel="0" collapsed="false">
      <c r="B10" s="55" t="s">
        <v>100</v>
      </c>
      <c r="C10" s="56" t="s">
        <v>70</v>
      </c>
      <c r="D10" s="55" t="s">
        <v>71</v>
      </c>
      <c r="E10" s="55" t="s">
        <v>26</v>
      </c>
      <c r="F10" s="57" t="n">
        <v>1200</v>
      </c>
      <c r="G10" s="55" t="s">
        <v>72</v>
      </c>
      <c r="H10" s="55" t="s">
        <v>73</v>
      </c>
      <c r="I10" s="55" t="s">
        <v>74</v>
      </c>
    </row>
    <row r="11" customFormat="false" ht="18.75" hidden="false" customHeight="true" outlineLevel="0" collapsed="false">
      <c r="B11" s="58" t="s">
        <v>101</v>
      </c>
      <c r="C11" s="59" t="s">
        <v>76</v>
      </c>
      <c r="D11" s="58" t="s">
        <v>71</v>
      </c>
      <c r="E11" s="58" t="s">
        <v>30</v>
      </c>
      <c r="F11" s="60" t="n">
        <v>450</v>
      </c>
      <c r="G11" s="58" t="s">
        <v>72</v>
      </c>
      <c r="H11" s="58" t="s">
        <v>77</v>
      </c>
      <c r="I11" s="58" t="s">
        <v>78</v>
      </c>
    </row>
    <row r="12" customFormat="false" ht="18.75" hidden="false" customHeight="true" outlineLevel="0" collapsed="false">
      <c r="B12" s="55" t="s">
        <v>102</v>
      </c>
      <c r="C12" s="56" t="s">
        <v>80</v>
      </c>
      <c r="D12" s="55" t="s">
        <v>71</v>
      </c>
      <c r="E12" s="55" t="s">
        <v>28</v>
      </c>
      <c r="F12" s="57" t="n">
        <v>150</v>
      </c>
      <c r="G12" s="55" t="s">
        <v>72</v>
      </c>
      <c r="H12" s="55" t="s">
        <v>81</v>
      </c>
      <c r="I12" s="55"/>
    </row>
    <row r="13" customFormat="false" ht="18.75" hidden="false" customHeight="true" outlineLevel="0" collapsed="false">
      <c r="B13" s="58" t="s">
        <v>103</v>
      </c>
      <c r="C13" s="59" t="s">
        <v>83</v>
      </c>
      <c r="D13" s="58" t="s">
        <v>71</v>
      </c>
      <c r="E13" s="58" t="s">
        <v>29</v>
      </c>
      <c r="F13" s="60" t="n">
        <v>200</v>
      </c>
      <c r="G13" s="58" t="s">
        <v>72</v>
      </c>
      <c r="H13" s="58" t="s">
        <v>84</v>
      </c>
      <c r="I13" s="58"/>
    </row>
    <row r="14" customFormat="false" ht="18.75" hidden="false" customHeight="true" outlineLevel="0" collapsed="false">
      <c r="B14" s="55" t="s">
        <v>104</v>
      </c>
      <c r="C14" s="56" t="s">
        <v>86</v>
      </c>
      <c r="D14" s="55" t="s">
        <v>71</v>
      </c>
      <c r="E14" s="55" t="s">
        <v>38</v>
      </c>
      <c r="F14" s="57" t="n">
        <v>500</v>
      </c>
      <c r="G14" s="55" t="s">
        <v>72</v>
      </c>
      <c r="H14" s="55" t="s">
        <v>87</v>
      </c>
      <c r="I14" s="55" t="s">
        <v>88</v>
      </c>
    </row>
    <row r="15" customFormat="false" ht="18.75" hidden="false" customHeight="true" outlineLevel="0" collapsed="false">
      <c r="B15" s="58" t="s">
        <v>105</v>
      </c>
      <c r="C15" s="59" t="s">
        <v>90</v>
      </c>
      <c r="D15" s="58" t="s">
        <v>71</v>
      </c>
      <c r="E15" s="58" t="s">
        <v>32</v>
      </c>
      <c r="F15" s="60" t="n">
        <v>100</v>
      </c>
      <c r="G15" s="58" t="s">
        <v>91</v>
      </c>
      <c r="H15" s="58" t="s">
        <v>92</v>
      </c>
      <c r="I15" s="58"/>
    </row>
    <row r="16" customFormat="false" ht="18.75" hidden="false" customHeight="true" outlineLevel="0" collapsed="false">
      <c r="B16" s="55" t="s">
        <v>106</v>
      </c>
      <c r="C16" s="56" t="s">
        <v>94</v>
      </c>
      <c r="D16" s="55" t="s">
        <v>71</v>
      </c>
      <c r="E16" s="55" t="s">
        <v>36</v>
      </c>
      <c r="F16" s="57" t="n">
        <v>60</v>
      </c>
      <c r="G16" s="55" t="s">
        <v>91</v>
      </c>
      <c r="H16" s="55" t="s">
        <v>95</v>
      </c>
      <c r="I16" s="55"/>
    </row>
    <row r="17" customFormat="false" ht="18.75" hidden="false" customHeight="true" outlineLevel="0" collapsed="false">
      <c r="B17" s="61"/>
      <c r="C17" s="61"/>
      <c r="D17" s="61"/>
      <c r="E17" s="61"/>
      <c r="F17" s="62"/>
      <c r="G17" s="61"/>
      <c r="H17" s="61"/>
      <c r="I17" s="61"/>
    </row>
    <row r="18" customFormat="false" ht="18.75" hidden="false" customHeight="true" outlineLevel="0" collapsed="false">
      <c r="B18" s="63"/>
      <c r="C18" s="63"/>
      <c r="D18" s="63"/>
      <c r="E18" s="63"/>
      <c r="F18" s="64"/>
      <c r="G18" s="63"/>
      <c r="H18" s="63"/>
      <c r="I18" s="63"/>
    </row>
    <row r="19" customFormat="false" ht="18.75" hidden="false" customHeight="true" outlineLevel="0" collapsed="false">
      <c r="B19" s="61"/>
      <c r="C19" s="61"/>
      <c r="D19" s="61"/>
      <c r="E19" s="61"/>
      <c r="F19" s="62"/>
      <c r="G19" s="61"/>
      <c r="H19" s="61"/>
      <c r="I19" s="61"/>
    </row>
    <row r="20" customFormat="false" ht="18.75" hidden="false" customHeight="true" outlineLevel="0" collapsed="false">
      <c r="B20" s="63"/>
      <c r="C20" s="63"/>
      <c r="D20" s="63"/>
      <c r="E20" s="63"/>
      <c r="F20" s="64"/>
      <c r="G20" s="63"/>
      <c r="H20" s="63"/>
      <c r="I20" s="63"/>
    </row>
    <row r="21" customFormat="false" ht="18.75" hidden="false" customHeight="true" outlineLevel="0" collapsed="false">
      <c r="B21" s="61"/>
      <c r="C21" s="61"/>
      <c r="D21" s="61"/>
      <c r="E21" s="61"/>
      <c r="F21" s="62"/>
      <c r="G21" s="61"/>
      <c r="H21" s="61"/>
      <c r="I21" s="61"/>
    </row>
    <row r="22" customFormat="false" ht="18.75" hidden="false" customHeight="true" outlineLevel="0" collapsed="false">
      <c r="B22" s="63"/>
      <c r="C22" s="63"/>
      <c r="D22" s="63"/>
      <c r="E22" s="63"/>
      <c r="F22" s="64"/>
      <c r="G22" s="63"/>
      <c r="H22" s="63"/>
      <c r="I22" s="63"/>
    </row>
    <row r="23" customFormat="false" ht="18.75" hidden="false" customHeight="true" outlineLevel="0" collapsed="false">
      <c r="B23" s="61"/>
      <c r="C23" s="61"/>
      <c r="D23" s="61"/>
      <c r="E23" s="61"/>
      <c r="F23" s="62"/>
      <c r="G23" s="61"/>
      <c r="H23" s="61"/>
      <c r="I23" s="61"/>
    </row>
    <row r="24" customFormat="false" ht="18.75" hidden="false" customHeight="true" outlineLevel="0" collapsed="false">
      <c r="B24" s="63"/>
      <c r="C24" s="63"/>
      <c r="D24" s="63"/>
      <c r="E24" s="63"/>
      <c r="F24" s="64"/>
      <c r="G24" s="63"/>
      <c r="H24" s="63"/>
      <c r="I24" s="63"/>
    </row>
    <row r="25" customFormat="false" ht="18.75" hidden="false" customHeight="true" outlineLevel="0" collapsed="false">
      <c r="B25" s="61"/>
      <c r="C25" s="61"/>
      <c r="D25" s="61"/>
      <c r="E25" s="61"/>
      <c r="F25" s="62"/>
      <c r="G25" s="61"/>
      <c r="H25" s="61"/>
      <c r="I25" s="61"/>
    </row>
    <row r="26" customFormat="false" ht="18.75" hidden="false" customHeight="true" outlineLevel="0" collapsed="false">
      <c r="B26" s="63"/>
      <c r="C26" s="63"/>
      <c r="D26" s="63"/>
      <c r="E26" s="63"/>
      <c r="F26" s="64"/>
      <c r="G26" s="63"/>
      <c r="H26" s="63"/>
      <c r="I26" s="63"/>
    </row>
    <row r="27" customFormat="false" ht="18.75" hidden="false" customHeight="true" outlineLevel="0" collapsed="false">
      <c r="B27" s="61"/>
      <c r="C27" s="61"/>
      <c r="D27" s="61"/>
      <c r="E27" s="61"/>
      <c r="F27" s="62"/>
      <c r="G27" s="61"/>
      <c r="H27" s="61"/>
      <c r="I27" s="61"/>
    </row>
    <row r="28" customFormat="false" ht="18.75" hidden="false" customHeight="true" outlineLevel="0" collapsed="false">
      <c r="B28" s="63"/>
      <c r="C28" s="63"/>
      <c r="D28" s="63"/>
      <c r="E28" s="63"/>
      <c r="F28" s="64"/>
      <c r="G28" s="63"/>
      <c r="H28" s="63"/>
      <c r="I28" s="63"/>
    </row>
    <row r="29" customFormat="false" ht="18.75" hidden="false" customHeight="true" outlineLevel="0" collapsed="false">
      <c r="B29" s="61"/>
      <c r="C29" s="61"/>
      <c r="D29" s="61"/>
      <c r="E29" s="61"/>
      <c r="F29" s="62"/>
      <c r="G29" s="61"/>
      <c r="H29" s="61"/>
      <c r="I29" s="61"/>
    </row>
    <row r="30" customFormat="false" ht="18.75" hidden="false" customHeight="true" outlineLevel="0" collapsed="false">
      <c r="B30" s="63"/>
      <c r="C30" s="63"/>
      <c r="D30" s="63"/>
      <c r="E30" s="63"/>
      <c r="F30" s="64"/>
      <c r="G30" s="63"/>
      <c r="H30" s="63"/>
      <c r="I30" s="63"/>
    </row>
    <row r="31" customFormat="false" ht="18.75" hidden="false" customHeight="true" outlineLevel="0" collapsed="false">
      <c r="B31" s="61"/>
      <c r="C31" s="61"/>
      <c r="D31" s="61"/>
      <c r="E31" s="61"/>
      <c r="F31" s="62"/>
      <c r="G31" s="61"/>
      <c r="H31" s="61"/>
      <c r="I31" s="61"/>
    </row>
    <row r="32" customFormat="false" ht="18.75" hidden="false" customHeight="true" outlineLevel="0" collapsed="false">
      <c r="B32" s="63"/>
      <c r="C32" s="63"/>
      <c r="D32" s="63"/>
      <c r="E32" s="63"/>
      <c r="F32" s="64"/>
      <c r="G32" s="63"/>
      <c r="H32" s="63"/>
      <c r="I32" s="63"/>
    </row>
    <row r="33" customFormat="false" ht="18.75" hidden="false" customHeight="true" outlineLevel="0" collapsed="false">
      <c r="B33" s="61"/>
      <c r="C33" s="61"/>
      <c r="D33" s="61"/>
      <c r="E33" s="61"/>
      <c r="F33" s="62"/>
      <c r="G33" s="61"/>
      <c r="H33" s="61"/>
      <c r="I33" s="61"/>
    </row>
    <row r="34" customFormat="false" ht="18.75" hidden="false" customHeight="true" outlineLevel="0" collapsed="false">
      <c r="B34" s="63"/>
      <c r="C34" s="63"/>
      <c r="D34" s="63"/>
      <c r="E34" s="63"/>
      <c r="F34" s="64"/>
      <c r="G34" s="63"/>
      <c r="H34" s="63"/>
      <c r="I34" s="63"/>
    </row>
    <row r="35" customFormat="false" ht="18.75" hidden="false" customHeight="true" outlineLevel="0" collapsed="false">
      <c r="B35" s="61"/>
      <c r="C35" s="61"/>
      <c r="D35" s="61"/>
      <c r="E35" s="61"/>
      <c r="F35" s="62"/>
      <c r="G35" s="61"/>
      <c r="H35" s="61"/>
      <c r="I35" s="61"/>
    </row>
    <row r="36" customFormat="false" ht="18.75" hidden="false" customHeight="true" outlineLevel="0" collapsed="false">
      <c r="B36" s="63"/>
      <c r="C36" s="63"/>
      <c r="D36" s="63"/>
      <c r="E36" s="63"/>
      <c r="F36" s="64"/>
      <c r="G36" s="63"/>
      <c r="H36" s="63"/>
      <c r="I36" s="63"/>
    </row>
    <row r="37" customFormat="false" ht="18.75" hidden="false" customHeight="true" outlineLevel="0" collapsed="false">
      <c r="B37" s="61"/>
      <c r="C37" s="61"/>
      <c r="D37" s="61"/>
      <c r="E37" s="61"/>
      <c r="F37" s="62"/>
      <c r="G37" s="61"/>
      <c r="H37" s="61"/>
      <c r="I37" s="61"/>
    </row>
    <row r="38" customFormat="false" ht="18.75" hidden="false" customHeight="true" outlineLevel="0" collapsed="false">
      <c r="B38" s="63"/>
      <c r="C38" s="63"/>
      <c r="D38" s="63"/>
      <c r="E38" s="63"/>
      <c r="F38" s="64"/>
      <c r="G38" s="63"/>
      <c r="H38" s="63"/>
      <c r="I38" s="63"/>
    </row>
    <row r="39" customFormat="false" ht="18.75" hidden="false" customHeight="true" outlineLevel="0" collapsed="false">
      <c r="B39" s="61"/>
      <c r="C39" s="61"/>
      <c r="D39" s="61"/>
      <c r="E39" s="61"/>
      <c r="F39" s="62"/>
      <c r="G39" s="61"/>
      <c r="H39" s="61"/>
      <c r="I39" s="61"/>
    </row>
    <row r="40" customFormat="false" ht="18.75" hidden="false" customHeight="true" outlineLevel="0" collapsed="false">
      <c r="B40" s="63"/>
      <c r="C40" s="63"/>
      <c r="D40" s="63"/>
      <c r="E40" s="63"/>
      <c r="F40" s="64"/>
      <c r="G40" s="63"/>
      <c r="H40" s="63"/>
      <c r="I40" s="63"/>
    </row>
    <row r="41" customFormat="false" ht="18.75" hidden="false" customHeight="true" outlineLevel="0" collapsed="false">
      <c r="B41" s="61"/>
      <c r="C41" s="61"/>
      <c r="D41" s="61"/>
      <c r="E41" s="61"/>
      <c r="F41" s="62"/>
      <c r="G41" s="61"/>
      <c r="H41" s="61"/>
      <c r="I41" s="61"/>
    </row>
    <row r="42" customFormat="false" ht="18.75" hidden="false" customHeight="true" outlineLevel="0" collapsed="false">
      <c r="B42" s="63"/>
      <c r="C42" s="63"/>
      <c r="D42" s="63"/>
      <c r="E42" s="63"/>
      <c r="F42" s="64"/>
      <c r="G42" s="63"/>
      <c r="H42" s="63"/>
      <c r="I42" s="63"/>
    </row>
    <row r="43" customFormat="false" ht="18.75" hidden="false" customHeight="true" outlineLevel="0" collapsed="false">
      <c r="B43" s="61"/>
      <c r="C43" s="61"/>
      <c r="D43" s="61"/>
      <c r="E43" s="61"/>
      <c r="F43" s="62"/>
      <c r="G43" s="61"/>
      <c r="H43" s="61"/>
      <c r="I43" s="61"/>
    </row>
    <row r="44" customFormat="false" ht="18.75" hidden="false" customHeight="true" outlineLevel="0" collapsed="false">
      <c r="B44" s="63"/>
      <c r="C44" s="63"/>
      <c r="D44" s="63"/>
      <c r="E44" s="63"/>
      <c r="F44" s="64"/>
      <c r="G44" s="63"/>
      <c r="H44" s="63"/>
      <c r="I44" s="63"/>
    </row>
    <row r="45" customFormat="false" ht="18.75" hidden="false" customHeight="true" outlineLevel="0" collapsed="false">
      <c r="B45" s="61"/>
      <c r="C45" s="61"/>
      <c r="D45" s="61"/>
      <c r="E45" s="61"/>
      <c r="F45" s="62"/>
      <c r="G45" s="61"/>
      <c r="H45" s="61"/>
      <c r="I45" s="61"/>
    </row>
    <row r="46" customFormat="false" ht="18.75" hidden="false" customHeight="true" outlineLevel="0" collapsed="false">
      <c r="B46" s="63"/>
      <c r="C46" s="63"/>
      <c r="D46" s="63"/>
      <c r="E46" s="63"/>
      <c r="F46" s="64"/>
      <c r="G46" s="63"/>
      <c r="H46" s="63"/>
      <c r="I46" s="63"/>
    </row>
    <row r="47" customFormat="false" ht="18.75" hidden="false" customHeight="true" outlineLevel="0" collapsed="false">
      <c r="B47" s="61"/>
      <c r="C47" s="61"/>
      <c r="D47" s="61"/>
      <c r="E47" s="61"/>
      <c r="F47" s="62"/>
      <c r="G47" s="61"/>
      <c r="H47" s="61"/>
      <c r="I47" s="61"/>
    </row>
    <row r="48" customFormat="false" ht="18.75" hidden="false" customHeight="true" outlineLevel="0" collapsed="false">
      <c r="B48" s="63"/>
      <c r="C48" s="63"/>
      <c r="D48" s="63"/>
      <c r="E48" s="63"/>
      <c r="F48" s="64"/>
      <c r="G48" s="63"/>
      <c r="H48" s="63"/>
      <c r="I48" s="63"/>
    </row>
    <row r="49" customFormat="false" ht="18.75" hidden="false" customHeight="true" outlineLevel="0" collapsed="false">
      <c r="B49" s="61"/>
      <c r="C49" s="61"/>
      <c r="D49" s="61"/>
      <c r="E49" s="61"/>
      <c r="F49" s="62"/>
      <c r="G49" s="61"/>
      <c r="H49" s="61"/>
      <c r="I49" s="61"/>
    </row>
    <row r="50" customFormat="false" ht="18.75" hidden="false" customHeight="true" outlineLevel="0" collapsed="false">
      <c r="B50" s="63"/>
      <c r="C50" s="63"/>
      <c r="D50" s="63"/>
      <c r="E50" s="63"/>
      <c r="F50" s="64"/>
      <c r="G50" s="63"/>
      <c r="H50" s="63"/>
      <c r="I50" s="63"/>
    </row>
    <row r="51" customFormat="false" ht="18.75" hidden="false" customHeight="true" outlineLevel="0" collapsed="false">
      <c r="B51" s="61"/>
      <c r="C51" s="61"/>
      <c r="D51" s="61"/>
      <c r="E51" s="61"/>
      <c r="F51" s="62"/>
      <c r="G51" s="61"/>
      <c r="H51" s="61"/>
      <c r="I51" s="61"/>
    </row>
    <row r="52" customFormat="false" ht="18.75" hidden="false" customHeight="true" outlineLevel="0" collapsed="false">
      <c r="B52" s="63"/>
      <c r="C52" s="63"/>
      <c r="D52" s="63"/>
      <c r="E52" s="63"/>
      <c r="F52" s="64"/>
      <c r="G52" s="63"/>
      <c r="H52" s="63"/>
      <c r="I52" s="63"/>
    </row>
    <row r="53" customFormat="false" ht="18.75" hidden="false" customHeight="true" outlineLevel="0" collapsed="false">
      <c r="B53" s="61"/>
      <c r="C53" s="61"/>
      <c r="D53" s="61"/>
      <c r="E53" s="61"/>
      <c r="F53" s="62"/>
      <c r="G53" s="61"/>
      <c r="H53" s="61"/>
      <c r="I53" s="61"/>
    </row>
    <row r="54" customFormat="false" ht="18.75" hidden="false" customHeight="true" outlineLevel="0" collapsed="false">
      <c r="B54" s="63"/>
      <c r="C54" s="63"/>
      <c r="D54" s="63"/>
      <c r="E54" s="63"/>
      <c r="F54" s="64"/>
      <c r="G54" s="63"/>
      <c r="H54" s="63"/>
      <c r="I54" s="63"/>
    </row>
    <row r="55" customFormat="false" ht="18.75" hidden="false" customHeight="true" outlineLevel="0" collapsed="false">
      <c r="B55" s="61"/>
      <c r="C55" s="61"/>
      <c r="D55" s="61"/>
      <c r="E55" s="61"/>
      <c r="F55" s="62"/>
      <c r="G55" s="61"/>
      <c r="H55" s="61"/>
      <c r="I55" s="61"/>
    </row>
    <row r="56" customFormat="false" ht="18.75" hidden="false" customHeight="true" outlineLevel="0" collapsed="false">
      <c r="B56" s="63"/>
      <c r="C56" s="63"/>
      <c r="D56" s="63"/>
      <c r="E56" s="63"/>
      <c r="F56" s="64"/>
      <c r="G56" s="63"/>
      <c r="H56" s="63"/>
      <c r="I56" s="63"/>
    </row>
    <row r="57" customFormat="false" ht="18.75" hidden="false" customHeight="true" outlineLevel="0" collapsed="false">
      <c r="B57" s="61"/>
      <c r="C57" s="61"/>
      <c r="D57" s="61"/>
      <c r="E57" s="61"/>
      <c r="F57" s="62"/>
      <c r="G57" s="61"/>
      <c r="H57" s="61"/>
      <c r="I57" s="61"/>
    </row>
    <row r="58" customFormat="false" ht="18.75" hidden="false" customHeight="true" outlineLevel="0" collapsed="false">
      <c r="B58" s="63"/>
      <c r="C58" s="63"/>
      <c r="D58" s="63"/>
      <c r="E58" s="63"/>
      <c r="F58" s="64"/>
      <c r="G58" s="63"/>
      <c r="H58" s="63"/>
      <c r="I58" s="63"/>
    </row>
    <row r="59" customFormat="false" ht="18.75" hidden="false" customHeight="true" outlineLevel="0" collapsed="false">
      <c r="B59" s="61"/>
      <c r="C59" s="61"/>
      <c r="D59" s="61"/>
      <c r="E59" s="61"/>
      <c r="F59" s="62"/>
      <c r="G59" s="61"/>
      <c r="H59" s="61"/>
      <c r="I59" s="61"/>
    </row>
    <row r="60" customFormat="false" ht="18.75" hidden="false" customHeight="true" outlineLevel="0" collapsed="false">
      <c r="B60" s="63"/>
      <c r="C60" s="63"/>
      <c r="D60" s="63"/>
      <c r="E60" s="63"/>
      <c r="F60" s="64"/>
      <c r="G60" s="63"/>
      <c r="H60" s="63"/>
      <c r="I60" s="63"/>
    </row>
    <row r="61" customFormat="false" ht="18.75" hidden="false" customHeight="true" outlineLevel="0" collapsed="false">
      <c r="B61" s="61"/>
      <c r="C61" s="61"/>
      <c r="D61" s="61"/>
      <c r="E61" s="61"/>
      <c r="F61" s="62"/>
      <c r="G61" s="61"/>
      <c r="H61" s="61"/>
      <c r="I61" s="61"/>
    </row>
    <row r="62" customFormat="false" ht="18.75" hidden="false" customHeight="true" outlineLevel="0" collapsed="false">
      <c r="B62" s="63"/>
      <c r="C62" s="63"/>
      <c r="D62" s="63"/>
      <c r="E62" s="63"/>
      <c r="F62" s="64"/>
      <c r="G62" s="63"/>
      <c r="H62" s="63"/>
      <c r="I62" s="63"/>
    </row>
    <row r="63" customFormat="false" ht="18.75" hidden="false" customHeight="true" outlineLevel="0" collapsed="false">
      <c r="B63" s="61"/>
      <c r="C63" s="61"/>
      <c r="D63" s="61"/>
      <c r="E63" s="61"/>
      <c r="F63" s="62"/>
      <c r="G63" s="61"/>
      <c r="H63" s="61"/>
      <c r="I63" s="61"/>
    </row>
    <row r="64" customFormat="false" ht="18.75" hidden="false" customHeight="true" outlineLevel="0" collapsed="false">
      <c r="B64" s="63"/>
      <c r="C64" s="63"/>
      <c r="D64" s="63"/>
      <c r="E64" s="63"/>
      <c r="F64" s="64"/>
      <c r="G64" s="63"/>
      <c r="H64" s="63"/>
      <c r="I64" s="63"/>
    </row>
    <row r="65" customFormat="false" ht="18.75" hidden="false" customHeight="true" outlineLevel="0" collapsed="false">
      <c r="B65" s="61"/>
      <c r="C65" s="61"/>
      <c r="D65" s="61"/>
      <c r="E65" s="61"/>
      <c r="F65" s="62"/>
      <c r="G65" s="61"/>
      <c r="H65" s="61"/>
      <c r="I65" s="61"/>
    </row>
    <row r="66" customFormat="false" ht="18.75" hidden="false" customHeight="true" outlineLevel="0" collapsed="false">
      <c r="B66" s="63"/>
      <c r="C66" s="63"/>
      <c r="D66" s="63"/>
      <c r="E66" s="63"/>
      <c r="F66" s="64"/>
      <c r="G66" s="63"/>
      <c r="H66" s="63"/>
      <c r="I66" s="63"/>
    </row>
    <row r="67" customFormat="false" ht="18.75" hidden="false" customHeight="true" outlineLevel="0" collapsed="false">
      <c r="B67" s="61"/>
      <c r="C67" s="61"/>
      <c r="D67" s="61"/>
      <c r="E67" s="61"/>
      <c r="F67" s="62"/>
      <c r="G67" s="61"/>
      <c r="H67" s="61"/>
      <c r="I67" s="61"/>
    </row>
    <row r="68" customFormat="false" ht="18.75" hidden="false" customHeight="true" outlineLevel="0" collapsed="false">
      <c r="B68" s="63"/>
      <c r="C68" s="63"/>
      <c r="D68" s="63"/>
      <c r="E68" s="63"/>
      <c r="F68" s="64"/>
      <c r="G68" s="63"/>
      <c r="H68" s="63"/>
      <c r="I68" s="63"/>
    </row>
    <row r="69" customFormat="false" ht="18.75" hidden="false" customHeight="true" outlineLevel="0" collapsed="false">
      <c r="B69" s="61"/>
      <c r="C69" s="61"/>
      <c r="D69" s="61"/>
      <c r="E69" s="61"/>
      <c r="F69" s="62"/>
      <c r="G69" s="61"/>
      <c r="H69" s="61"/>
      <c r="I69" s="61"/>
    </row>
    <row r="70" customFormat="false" ht="18.75" hidden="false" customHeight="true" outlineLevel="0" collapsed="false">
      <c r="B70" s="63"/>
      <c r="C70" s="63"/>
      <c r="D70" s="63"/>
      <c r="E70" s="63"/>
      <c r="F70" s="64"/>
      <c r="G70" s="63"/>
      <c r="H70" s="63"/>
      <c r="I70" s="63"/>
    </row>
    <row r="71" customFormat="false" ht="18.75" hidden="false" customHeight="true" outlineLevel="0" collapsed="false">
      <c r="B71" s="61"/>
      <c r="C71" s="61"/>
      <c r="D71" s="61"/>
      <c r="E71" s="61"/>
      <c r="F71" s="62"/>
      <c r="G71" s="61"/>
      <c r="H71" s="61"/>
      <c r="I71" s="61"/>
    </row>
    <row r="72" customFormat="false" ht="18.75" hidden="false" customHeight="true" outlineLevel="0" collapsed="false">
      <c r="B72" s="63"/>
      <c r="C72" s="63"/>
      <c r="D72" s="63"/>
      <c r="E72" s="63"/>
      <c r="F72" s="64"/>
      <c r="G72" s="63"/>
      <c r="H72" s="63"/>
      <c r="I72" s="63"/>
    </row>
    <row r="73" customFormat="false" ht="18.75" hidden="false" customHeight="true" outlineLevel="0" collapsed="false">
      <c r="B73" s="61"/>
      <c r="C73" s="61"/>
      <c r="D73" s="61"/>
      <c r="E73" s="61"/>
      <c r="F73" s="62"/>
      <c r="G73" s="61"/>
      <c r="H73" s="61"/>
      <c r="I73" s="61"/>
    </row>
    <row r="74" customFormat="false" ht="18.75" hidden="false" customHeight="true" outlineLevel="0" collapsed="false">
      <c r="B74" s="63"/>
      <c r="C74" s="63"/>
      <c r="D74" s="63"/>
      <c r="E74" s="63"/>
      <c r="F74" s="64"/>
      <c r="G74" s="63"/>
      <c r="H74" s="63"/>
      <c r="I74" s="63"/>
    </row>
    <row r="75" customFormat="false" ht="18.75" hidden="false" customHeight="true" outlineLevel="0" collapsed="false">
      <c r="B75" s="61"/>
      <c r="C75" s="61"/>
      <c r="D75" s="61"/>
      <c r="E75" s="61"/>
      <c r="F75" s="62"/>
      <c r="G75" s="61"/>
      <c r="H75" s="61"/>
      <c r="I75" s="61"/>
    </row>
    <row r="76" customFormat="false" ht="18.75" hidden="false" customHeight="true" outlineLevel="0" collapsed="false">
      <c r="B76" s="63"/>
      <c r="C76" s="63"/>
      <c r="D76" s="63"/>
      <c r="E76" s="63"/>
      <c r="F76" s="64"/>
      <c r="G76" s="63"/>
      <c r="H76" s="63"/>
      <c r="I76" s="63"/>
    </row>
    <row r="77" customFormat="false" ht="18.75" hidden="false" customHeight="true" outlineLevel="0" collapsed="false">
      <c r="B77" s="61"/>
      <c r="C77" s="61"/>
      <c r="D77" s="61"/>
      <c r="E77" s="61"/>
      <c r="F77" s="62"/>
      <c r="G77" s="61"/>
      <c r="H77" s="61"/>
      <c r="I77" s="61"/>
    </row>
    <row r="78" customFormat="false" ht="18.75" hidden="false" customHeight="true" outlineLevel="0" collapsed="false">
      <c r="B78" s="63"/>
      <c r="C78" s="63"/>
      <c r="D78" s="63"/>
      <c r="E78" s="63"/>
      <c r="F78" s="64"/>
      <c r="G78" s="63"/>
      <c r="H78" s="63"/>
      <c r="I78" s="63"/>
    </row>
    <row r="79" customFormat="false" ht="18.75" hidden="false" customHeight="true" outlineLevel="0" collapsed="false">
      <c r="B79" s="61"/>
      <c r="C79" s="61"/>
      <c r="D79" s="61"/>
      <c r="E79" s="61"/>
      <c r="F79" s="62"/>
      <c r="G79" s="61"/>
      <c r="H79" s="61"/>
      <c r="I79" s="61"/>
    </row>
    <row r="80" customFormat="false" ht="18.75" hidden="false" customHeight="true" outlineLevel="0" collapsed="false">
      <c r="B80" s="63"/>
      <c r="C80" s="63"/>
      <c r="D80" s="63"/>
      <c r="E80" s="63"/>
      <c r="F80" s="64"/>
      <c r="G80" s="63"/>
      <c r="H80" s="63"/>
      <c r="I80" s="63"/>
    </row>
    <row r="81" customFormat="false" ht="18.75" hidden="false" customHeight="true" outlineLevel="0" collapsed="false">
      <c r="B81" s="61"/>
      <c r="C81" s="61"/>
      <c r="D81" s="61"/>
      <c r="E81" s="61"/>
      <c r="F81" s="62"/>
      <c r="G81" s="61"/>
      <c r="H81" s="61"/>
      <c r="I81" s="61"/>
    </row>
    <row r="82" customFormat="false" ht="18.75" hidden="false" customHeight="true" outlineLevel="0" collapsed="false">
      <c r="B82" s="63"/>
      <c r="C82" s="63"/>
      <c r="D82" s="63"/>
      <c r="E82" s="63"/>
      <c r="F82" s="64"/>
      <c r="G82" s="63"/>
      <c r="H82" s="63"/>
      <c r="I82" s="63"/>
    </row>
    <row r="83" customFormat="false" ht="18.75" hidden="false" customHeight="true" outlineLevel="0" collapsed="false">
      <c r="B83" s="61"/>
      <c r="C83" s="61"/>
      <c r="D83" s="61"/>
      <c r="E83" s="61"/>
      <c r="F83" s="62"/>
      <c r="G83" s="61"/>
      <c r="H83" s="61"/>
      <c r="I83" s="61"/>
    </row>
    <row r="84" customFormat="false" ht="18.75" hidden="false" customHeight="true" outlineLevel="0" collapsed="false">
      <c r="B84" s="63"/>
      <c r="C84" s="63"/>
      <c r="D84" s="63"/>
      <c r="E84" s="63"/>
      <c r="F84" s="64"/>
      <c r="G84" s="63"/>
      <c r="H84" s="63"/>
      <c r="I84" s="63"/>
    </row>
    <row r="85" customFormat="false" ht="18.75" hidden="false" customHeight="true" outlineLevel="0" collapsed="false">
      <c r="B85" s="61"/>
      <c r="C85" s="61"/>
      <c r="D85" s="61"/>
      <c r="E85" s="61"/>
      <c r="F85" s="62"/>
      <c r="G85" s="61"/>
      <c r="H85" s="61"/>
      <c r="I85" s="61"/>
    </row>
    <row r="86" customFormat="false" ht="18.75" hidden="false" customHeight="true" outlineLevel="0" collapsed="false">
      <c r="B86" s="63"/>
      <c r="C86" s="63"/>
      <c r="D86" s="63"/>
      <c r="E86" s="63"/>
      <c r="F86" s="64"/>
      <c r="G86" s="63"/>
      <c r="H86" s="63"/>
      <c r="I86" s="63"/>
    </row>
    <row r="87" customFormat="false" ht="18.75" hidden="false" customHeight="true" outlineLevel="0" collapsed="false">
      <c r="B87" s="61"/>
      <c r="C87" s="61"/>
      <c r="D87" s="61"/>
      <c r="E87" s="61"/>
      <c r="F87" s="62"/>
      <c r="G87" s="61"/>
      <c r="H87" s="61"/>
      <c r="I87" s="61"/>
    </row>
    <row r="88" customFormat="false" ht="18.75" hidden="false" customHeight="true" outlineLevel="0" collapsed="false">
      <c r="B88" s="63"/>
      <c r="C88" s="63"/>
      <c r="D88" s="63"/>
      <c r="E88" s="63"/>
      <c r="F88" s="64"/>
      <c r="G88" s="63"/>
      <c r="H88" s="63"/>
      <c r="I88" s="63"/>
    </row>
    <row r="89" customFormat="false" ht="18.75" hidden="false" customHeight="true" outlineLevel="0" collapsed="false">
      <c r="B89" s="61"/>
      <c r="C89" s="61"/>
      <c r="D89" s="61"/>
      <c r="E89" s="61"/>
      <c r="F89" s="62"/>
      <c r="G89" s="61"/>
      <c r="H89" s="61"/>
      <c r="I89" s="61"/>
    </row>
    <row r="90" customFormat="false" ht="18.75" hidden="false" customHeight="true" outlineLevel="0" collapsed="false">
      <c r="B90" s="63"/>
      <c r="C90" s="63"/>
      <c r="D90" s="63"/>
      <c r="E90" s="63"/>
      <c r="F90" s="64"/>
      <c r="G90" s="63"/>
      <c r="H90" s="63"/>
      <c r="I90" s="63"/>
    </row>
    <row r="91" customFormat="false" ht="18.75" hidden="false" customHeight="true" outlineLevel="0" collapsed="false">
      <c r="B91" s="61"/>
      <c r="C91" s="61"/>
      <c r="D91" s="61"/>
      <c r="E91" s="61"/>
      <c r="F91" s="62"/>
      <c r="G91" s="61"/>
      <c r="H91" s="61"/>
      <c r="I91" s="61"/>
    </row>
    <row r="92" customFormat="false" ht="18.75" hidden="false" customHeight="true" outlineLevel="0" collapsed="false">
      <c r="B92" s="63"/>
      <c r="C92" s="63"/>
      <c r="D92" s="63"/>
      <c r="E92" s="63"/>
      <c r="F92" s="64"/>
      <c r="G92" s="63"/>
      <c r="H92" s="63"/>
      <c r="I92" s="63"/>
    </row>
    <row r="93" customFormat="false" ht="18.75" hidden="false" customHeight="true" outlineLevel="0" collapsed="false">
      <c r="B93" s="61"/>
      <c r="C93" s="61"/>
      <c r="D93" s="61"/>
      <c r="E93" s="61"/>
      <c r="F93" s="62"/>
      <c r="G93" s="61"/>
      <c r="H93" s="61"/>
      <c r="I93" s="61"/>
    </row>
    <row r="94" customFormat="false" ht="18.75" hidden="false" customHeight="true" outlineLevel="0" collapsed="false">
      <c r="B94" s="63"/>
      <c r="C94" s="63"/>
      <c r="D94" s="63"/>
      <c r="E94" s="63"/>
      <c r="F94" s="64"/>
      <c r="G94" s="63"/>
      <c r="H94" s="63"/>
      <c r="I94" s="63"/>
    </row>
    <row r="95" customFormat="false" ht="18.75" hidden="false" customHeight="true" outlineLevel="0" collapsed="false">
      <c r="B95" s="61"/>
      <c r="C95" s="61"/>
      <c r="D95" s="61"/>
      <c r="E95" s="61"/>
      <c r="F95" s="62"/>
      <c r="G95" s="61"/>
      <c r="H95" s="61"/>
      <c r="I95" s="61"/>
    </row>
    <row r="96" customFormat="false" ht="18.75" hidden="false" customHeight="true" outlineLevel="0" collapsed="false">
      <c r="B96" s="63"/>
      <c r="C96" s="63"/>
      <c r="D96" s="63"/>
      <c r="E96" s="63"/>
      <c r="F96" s="64"/>
      <c r="G96" s="63"/>
      <c r="H96" s="63"/>
      <c r="I96" s="63"/>
    </row>
    <row r="97" customFormat="false" ht="18.75" hidden="false" customHeight="true" outlineLevel="0" collapsed="false">
      <c r="B97" s="61"/>
      <c r="C97" s="61"/>
      <c r="D97" s="61"/>
      <c r="E97" s="61"/>
      <c r="F97" s="62"/>
      <c r="G97" s="61"/>
      <c r="H97" s="61"/>
      <c r="I97" s="61"/>
    </row>
    <row r="98" customFormat="false" ht="18.75" hidden="false" customHeight="true" outlineLevel="0" collapsed="false">
      <c r="B98" s="63"/>
      <c r="C98" s="63"/>
      <c r="D98" s="63"/>
      <c r="E98" s="63"/>
      <c r="F98" s="64"/>
      <c r="G98" s="63"/>
      <c r="H98" s="63"/>
      <c r="I98" s="63"/>
    </row>
    <row r="99" customFormat="false" ht="18.75" hidden="false" customHeight="true" outlineLevel="0" collapsed="false">
      <c r="B99" s="61"/>
      <c r="C99" s="61"/>
      <c r="D99" s="61"/>
      <c r="E99" s="61"/>
      <c r="F99" s="62"/>
      <c r="G99" s="61"/>
      <c r="H99" s="61"/>
      <c r="I99" s="61"/>
    </row>
    <row r="100" customFormat="false" ht="18.75" hidden="false" customHeight="true" outlineLevel="0" collapsed="false">
      <c r="B100" s="63"/>
      <c r="C100" s="63"/>
      <c r="D100" s="63"/>
      <c r="E100" s="63"/>
      <c r="F100" s="64"/>
      <c r="G100" s="63"/>
      <c r="H100" s="63"/>
      <c r="I100" s="63"/>
    </row>
    <row r="101" customFormat="false" ht="18.75" hidden="false" customHeight="true" outlineLevel="0" collapsed="false">
      <c r="B101" s="61"/>
      <c r="C101" s="61"/>
      <c r="D101" s="61"/>
      <c r="E101" s="61"/>
      <c r="F101" s="62"/>
      <c r="G101" s="61"/>
      <c r="H101" s="61"/>
      <c r="I101" s="61"/>
    </row>
    <row r="102" customFormat="false" ht="18.75" hidden="false" customHeight="true" outlineLevel="0" collapsed="false">
      <c r="B102" s="63"/>
      <c r="C102" s="63"/>
      <c r="D102" s="63"/>
      <c r="E102" s="63"/>
      <c r="F102" s="64"/>
      <c r="G102" s="63"/>
      <c r="H102" s="63"/>
      <c r="I102" s="63"/>
    </row>
    <row r="103" customFormat="false" ht="18.75" hidden="false" customHeight="true" outlineLevel="0" collapsed="false">
      <c r="B103" s="61"/>
      <c r="C103" s="61"/>
      <c r="D103" s="61"/>
      <c r="E103" s="61"/>
      <c r="F103" s="62"/>
      <c r="G103" s="61"/>
      <c r="H103" s="61"/>
      <c r="I103" s="61"/>
    </row>
    <row r="104" customFormat="false" ht="18.75" hidden="false" customHeight="true" outlineLevel="0" collapsed="false">
      <c r="B104" s="63"/>
      <c r="C104" s="63"/>
      <c r="D104" s="63"/>
      <c r="E104" s="63"/>
      <c r="F104" s="64"/>
      <c r="G104" s="63"/>
      <c r="H104" s="63"/>
      <c r="I104" s="63"/>
    </row>
    <row r="105" customFormat="false" ht="18.75" hidden="false" customHeight="true" outlineLevel="0" collapsed="false">
      <c r="B105" s="61"/>
      <c r="C105" s="61"/>
      <c r="D105" s="61"/>
      <c r="E105" s="61"/>
      <c r="F105" s="62"/>
      <c r="G105" s="61"/>
      <c r="H105" s="61"/>
      <c r="I105" s="61"/>
    </row>
    <row r="106" customFormat="false" ht="18.75" hidden="false" customHeight="true" outlineLevel="0" collapsed="false">
      <c r="B106" s="63"/>
      <c r="C106" s="63"/>
      <c r="D106" s="63"/>
      <c r="E106" s="63"/>
      <c r="F106" s="64"/>
      <c r="G106" s="63"/>
      <c r="H106" s="63"/>
      <c r="I106" s="63"/>
    </row>
    <row r="107" customFormat="false" ht="18.75" hidden="false" customHeight="true" outlineLevel="0" collapsed="false">
      <c r="B107" s="61"/>
      <c r="C107" s="61"/>
      <c r="D107" s="61"/>
      <c r="E107" s="61"/>
      <c r="F107" s="62"/>
      <c r="G107" s="61"/>
      <c r="H107" s="61"/>
      <c r="I107" s="61"/>
    </row>
    <row r="108" customFormat="false" ht="18.75" hidden="false" customHeight="true" outlineLevel="0" collapsed="false">
      <c r="B108" s="65" t="s">
        <v>96</v>
      </c>
      <c r="C108" s="65"/>
      <c r="D108" s="65"/>
      <c r="E108" s="65"/>
      <c r="F108" s="66" t="n">
        <f aca="false">SUM(E8:E107)</f>
        <v>0</v>
      </c>
    </row>
    <row r="109" customFormat="false" ht="18.75" hidden="false" customHeight="true" outlineLevel="0" collapsed="false"/>
    <row r="110" customFormat="false" ht="18.75" hidden="false" customHeight="true" outlineLevel="0" collapsed="false">
      <c r="B110" s="67" t="s">
        <v>97</v>
      </c>
      <c r="C110" s="67"/>
      <c r="D110" s="67"/>
      <c r="E110" s="67"/>
      <c r="F110" s="67"/>
      <c r="G110" s="67"/>
      <c r="H110" s="67"/>
    </row>
    <row r="111" customFormat="false" ht="18.75" hidden="false" customHeight="true" outlineLevel="0" collapsed="false"/>
    <row r="112" customFormat="false" ht="18.75" hidden="false" customHeight="true" outlineLevel="0" collapsed="false"/>
    <row r="113" customFormat="false" ht="18.75" hidden="false" customHeight="true" outlineLevel="0" collapsed="false"/>
    <row r="114" customFormat="false" ht="18.75" hidden="false" customHeight="true" outlineLevel="0" collapsed="false"/>
    <row r="115" customFormat="false" ht="18.75" hidden="false" customHeight="true" outlineLevel="0" collapsed="false"/>
    <row r="116" customFormat="false" ht="18.75" hidden="false" customHeight="true" outlineLevel="0" collapsed="false"/>
    <row r="117" customFormat="false" ht="18.75" hidden="false" customHeight="true" outlineLevel="0" collapsed="false"/>
    <row r="118" customFormat="false" ht="18.75" hidden="false" customHeight="true" outlineLevel="0" collapsed="false"/>
    <row r="119" customFormat="false" ht="18.75" hidden="false" customHeight="true" outlineLevel="0" collapsed="false"/>
  </sheetData>
  <mergeCells count="9">
    <mergeCell ref="B1:H2"/>
    <mergeCell ref="B4:C4"/>
    <mergeCell ref="D4:E4"/>
    <mergeCell ref="F4:G4"/>
    <mergeCell ref="B5:C5"/>
    <mergeCell ref="D5:E5"/>
    <mergeCell ref="F5:G5"/>
    <mergeCell ref="B108:E108"/>
    <mergeCell ref="B110:H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4"/>
  </cols>
  <sheetData>
    <row r="1" customFormat="false" ht="18.75" hidden="false" customHeight="true" outlineLevel="0" collapsed="false">
      <c r="B1" s="48" t="s">
        <v>107</v>
      </c>
      <c r="C1" s="48"/>
      <c r="D1" s="48"/>
      <c r="E1" s="48"/>
      <c r="F1" s="48"/>
      <c r="G1" s="48"/>
      <c r="H1" s="48"/>
    </row>
    <row r="2" customFormat="false" ht="18.75" hidden="false" customHeight="true" outlineLevel="0" collapsed="false">
      <c r="B2" s="48"/>
      <c r="C2" s="48"/>
      <c r="D2" s="48"/>
      <c r="E2" s="48"/>
      <c r="F2" s="48"/>
      <c r="G2" s="48"/>
      <c r="H2" s="48"/>
    </row>
    <row r="3" customFormat="false" ht="18.75" hidden="false" customHeight="true" outlineLevel="0" collapsed="false"/>
    <row r="4" customFormat="false" ht="18.75" hidden="false" customHeight="true" outlineLevel="0" collapsed="false">
      <c r="B4" s="49" t="s">
        <v>51</v>
      </c>
      <c r="C4" s="49"/>
      <c r="D4" s="50" t="s">
        <v>52</v>
      </c>
      <c r="E4" s="50"/>
      <c r="F4" s="51" t="s">
        <v>53</v>
      </c>
      <c r="G4" s="51"/>
    </row>
    <row r="5" customFormat="false" ht="18.75" hidden="false" customHeight="true" outlineLevel="0" collapsed="false">
      <c r="B5" s="52" t="n">
        <f aca="false">SUMIF(C8:C107,"Receita",E8:E107)</f>
        <v>0</v>
      </c>
      <c r="C5" s="52"/>
      <c r="D5" s="53" t="n">
        <f aca="false">SUMIF(C8:C107,"Despesa",E8:E107)</f>
        <v>0</v>
      </c>
      <c r="E5" s="53"/>
      <c r="F5" s="54" t="n">
        <f aca="false">B5-D5</f>
        <v>0</v>
      </c>
      <c r="G5" s="54"/>
    </row>
    <row r="6" customFormat="false" ht="18.75" hidden="false" customHeight="true" outlineLevel="0" collapsed="false"/>
    <row r="7" customFormat="false" ht="18.75" hidden="false" customHeight="true" outlineLevel="0" collapsed="false">
      <c r="B7" s="24" t="s">
        <v>54</v>
      </c>
      <c r="C7" s="24" t="s">
        <v>55</v>
      </c>
      <c r="D7" s="24" t="s">
        <v>20</v>
      </c>
      <c r="E7" s="24" t="s">
        <v>19</v>
      </c>
      <c r="F7" s="24" t="s">
        <v>56</v>
      </c>
      <c r="G7" s="24" t="s">
        <v>25</v>
      </c>
      <c r="H7" s="24" t="s">
        <v>57</v>
      </c>
      <c r="I7" s="24" t="s">
        <v>58</v>
      </c>
    </row>
    <row r="8" customFormat="false" ht="18.75" hidden="false" customHeight="true" outlineLevel="0" collapsed="false">
      <c r="B8" s="55" t="s">
        <v>108</v>
      </c>
      <c r="C8" s="56" t="s">
        <v>60</v>
      </c>
      <c r="D8" s="55" t="s">
        <v>61</v>
      </c>
      <c r="E8" s="55" t="s">
        <v>62</v>
      </c>
      <c r="F8" s="57" t="n">
        <v>3500</v>
      </c>
      <c r="G8" s="55" t="s">
        <v>63</v>
      </c>
      <c r="H8" s="55" t="s">
        <v>64</v>
      </c>
      <c r="I8" s="55" t="s">
        <v>65</v>
      </c>
    </row>
    <row r="9" customFormat="false" ht="18.75" hidden="false" customHeight="true" outlineLevel="0" collapsed="false">
      <c r="B9" s="58" t="s">
        <v>108</v>
      </c>
      <c r="C9" s="59" t="s">
        <v>66</v>
      </c>
      <c r="D9" s="58" t="s">
        <v>61</v>
      </c>
      <c r="E9" s="58" t="s">
        <v>62</v>
      </c>
      <c r="F9" s="60" t="n">
        <v>500</v>
      </c>
      <c r="G9" s="58" t="s">
        <v>63</v>
      </c>
      <c r="H9" s="58" t="s">
        <v>67</v>
      </c>
      <c r="I9" s="58" t="s">
        <v>68</v>
      </c>
    </row>
    <row r="10" customFormat="false" ht="18.75" hidden="false" customHeight="true" outlineLevel="0" collapsed="false">
      <c r="B10" s="55" t="s">
        <v>109</v>
      </c>
      <c r="C10" s="56" t="s">
        <v>70</v>
      </c>
      <c r="D10" s="55" t="s">
        <v>71</v>
      </c>
      <c r="E10" s="55" t="s">
        <v>26</v>
      </c>
      <c r="F10" s="57" t="n">
        <v>1200</v>
      </c>
      <c r="G10" s="55" t="s">
        <v>72</v>
      </c>
      <c r="H10" s="55" t="s">
        <v>73</v>
      </c>
      <c r="I10" s="55" t="s">
        <v>74</v>
      </c>
    </row>
    <row r="11" customFormat="false" ht="18.75" hidden="false" customHeight="true" outlineLevel="0" collapsed="false">
      <c r="B11" s="58" t="s">
        <v>110</v>
      </c>
      <c r="C11" s="59" t="s">
        <v>76</v>
      </c>
      <c r="D11" s="58" t="s">
        <v>71</v>
      </c>
      <c r="E11" s="58" t="s">
        <v>30</v>
      </c>
      <c r="F11" s="60" t="n">
        <v>450</v>
      </c>
      <c r="G11" s="58" t="s">
        <v>72</v>
      </c>
      <c r="H11" s="58" t="s">
        <v>77</v>
      </c>
      <c r="I11" s="58" t="s">
        <v>78</v>
      </c>
    </row>
    <row r="12" customFormat="false" ht="18.75" hidden="false" customHeight="true" outlineLevel="0" collapsed="false">
      <c r="B12" s="55" t="s">
        <v>111</v>
      </c>
      <c r="C12" s="56" t="s">
        <v>80</v>
      </c>
      <c r="D12" s="55" t="s">
        <v>71</v>
      </c>
      <c r="E12" s="55" t="s">
        <v>28</v>
      </c>
      <c r="F12" s="57" t="n">
        <v>150</v>
      </c>
      <c r="G12" s="55" t="s">
        <v>72</v>
      </c>
      <c r="H12" s="55" t="s">
        <v>81</v>
      </c>
      <c r="I12" s="55"/>
    </row>
    <row r="13" customFormat="false" ht="18.75" hidden="false" customHeight="true" outlineLevel="0" collapsed="false">
      <c r="B13" s="58" t="s">
        <v>112</v>
      </c>
      <c r="C13" s="59" t="s">
        <v>83</v>
      </c>
      <c r="D13" s="58" t="s">
        <v>71</v>
      </c>
      <c r="E13" s="58" t="s">
        <v>29</v>
      </c>
      <c r="F13" s="60" t="n">
        <v>200</v>
      </c>
      <c r="G13" s="58" t="s">
        <v>72</v>
      </c>
      <c r="H13" s="58" t="s">
        <v>84</v>
      </c>
      <c r="I13" s="58"/>
    </row>
    <row r="14" customFormat="false" ht="18.75" hidden="false" customHeight="true" outlineLevel="0" collapsed="false">
      <c r="B14" s="55" t="s">
        <v>113</v>
      </c>
      <c r="C14" s="56" t="s">
        <v>86</v>
      </c>
      <c r="D14" s="55" t="s">
        <v>71</v>
      </c>
      <c r="E14" s="55" t="s">
        <v>38</v>
      </c>
      <c r="F14" s="57" t="n">
        <v>500</v>
      </c>
      <c r="G14" s="55" t="s">
        <v>72</v>
      </c>
      <c r="H14" s="55" t="s">
        <v>87</v>
      </c>
      <c r="I14" s="55" t="s">
        <v>88</v>
      </c>
    </row>
    <row r="15" customFormat="false" ht="18.75" hidden="false" customHeight="true" outlineLevel="0" collapsed="false">
      <c r="B15" s="58" t="s">
        <v>114</v>
      </c>
      <c r="C15" s="59" t="s">
        <v>90</v>
      </c>
      <c r="D15" s="58" t="s">
        <v>71</v>
      </c>
      <c r="E15" s="58" t="s">
        <v>32</v>
      </c>
      <c r="F15" s="60" t="n">
        <v>100</v>
      </c>
      <c r="G15" s="58" t="s">
        <v>91</v>
      </c>
      <c r="H15" s="58" t="s">
        <v>92</v>
      </c>
      <c r="I15" s="58"/>
    </row>
    <row r="16" customFormat="false" ht="18.75" hidden="false" customHeight="true" outlineLevel="0" collapsed="false">
      <c r="B16" s="55" t="s">
        <v>115</v>
      </c>
      <c r="C16" s="56" t="s">
        <v>94</v>
      </c>
      <c r="D16" s="55" t="s">
        <v>71</v>
      </c>
      <c r="E16" s="55" t="s">
        <v>36</v>
      </c>
      <c r="F16" s="57" t="n">
        <v>60</v>
      </c>
      <c r="G16" s="55" t="s">
        <v>91</v>
      </c>
      <c r="H16" s="55" t="s">
        <v>95</v>
      </c>
      <c r="I16" s="55"/>
    </row>
    <row r="17" customFormat="false" ht="18.75" hidden="false" customHeight="true" outlineLevel="0" collapsed="false">
      <c r="B17" s="61"/>
      <c r="C17" s="61"/>
      <c r="D17" s="61"/>
      <c r="E17" s="61"/>
      <c r="F17" s="62"/>
      <c r="G17" s="61"/>
      <c r="H17" s="61"/>
      <c r="I17" s="61"/>
    </row>
    <row r="18" customFormat="false" ht="18.75" hidden="false" customHeight="true" outlineLevel="0" collapsed="false">
      <c r="B18" s="63"/>
      <c r="C18" s="63"/>
      <c r="D18" s="63"/>
      <c r="E18" s="63"/>
      <c r="F18" s="64"/>
      <c r="G18" s="63"/>
      <c r="H18" s="63"/>
      <c r="I18" s="63"/>
    </row>
    <row r="19" customFormat="false" ht="18.75" hidden="false" customHeight="true" outlineLevel="0" collapsed="false">
      <c r="B19" s="61"/>
      <c r="C19" s="61"/>
      <c r="D19" s="61"/>
      <c r="E19" s="61"/>
      <c r="F19" s="62"/>
      <c r="G19" s="61"/>
      <c r="H19" s="61"/>
      <c r="I19" s="61"/>
    </row>
    <row r="20" customFormat="false" ht="18.75" hidden="false" customHeight="true" outlineLevel="0" collapsed="false">
      <c r="B20" s="63"/>
      <c r="C20" s="63"/>
      <c r="D20" s="63"/>
      <c r="E20" s="63"/>
      <c r="F20" s="64"/>
      <c r="G20" s="63"/>
      <c r="H20" s="63"/>
      <c r="I20" s="63"/>
    </row>
    <row r="21" customFormat="false" ht="18.75" hidden="false" customHeight="true" outlineLevel="0" collapsed="false">
      <c r="B21" s="61"/>
      <c r="C21" s="61"/>
      <c r="D21" s="61"/>
      <c r="E21" s="61"/>
      <c r="F21" s="62"/>
      <c r="G21" s="61"/>
      <c r="H21" s="61"/>
      <c r="I21" s="61"/>
    </row>
    <row r="22" customFormat="false" ht="18.75" hidden="false" customHeight="true" outlineLevel="0" collapsed="false">
      <c r="B22" s="63"/>
      <c r="C22" s="63"/>
      <c r="D22" s="63"/>
      <c r="E22" s="63"/>
      <c r="F22" s="64"/>
      <c r="G22" s="63"/>
      <c r="H22" s="63"/>
      <c r="I22" s="63"/>
    </row>
    <row r="23" customFormat="false" ht="18.75" hidden="false" customHeight="true" outlineLevel="0" collapsed="false">
      <c r="B23" s="61"/>
      <c r="C23" s="61"/>
      <c r="D23" s="61"/>
      <c r="E23" s="61"/>
      <c r="F23" s="62"/>
      <c r="G23" s="61"/>
      <c r="H23" s="61"/>
      <c r="I23" s="61"/>
    </row>
    <row r="24" customFormat="false" ht="18.75" hidden="false" customHeight="true" outlineLevel="0" collapsed="false">
      <c r="B24" s="63"/>
      <c r="C24" s="63"/>
      <c r="D24" s="63"/>
      <c r="E24" s="63"/>
      <c r="F24" s="64"/>
      <c r="G24" s="63"/>
      <c r="H24" s="63"/>
      <c r="I24" s="63"/>
    </row>
    <row r="25" customFormat="false" ht="18.75" hidden="false" customHeight="true" outlineLevel="0" collapsed="false">
      <c r="B25" s="61"/>
      <c r="C25" s="61"/>
      <c r="D25" s="61"/>
      <c r="E25" s="61"/>
      <c r="F25" s="62"/>
      <c r="G25" s="61"/>
      <c r="H25" s="61"/>
      <c r="I25" s="61"/>
    </row>
    <row r="26" customFormat="false" ht="18.75" hidden="false" customHeight="true" outlineLevel="0" collapsed="false">
      <c r="B26" s="63"/>
      <c r="C26" s="63"/>
      <c r="D26" s="63"/>
      <c r="E26" s="63"/>
      <c r="F26" s="64"/>
      <c r="G26" s="63"/>
      <c r="H26" s="63"/>
      <c r="I26" s="63"/>
    </row>
    <row r="27" customFormat="false" ht="18.75" hidden="false" customHeight="true" outlineLevel="0" collapsed="false">
      <c r="B27" s="61"/>
      <c r="C27" s="61"/>
      <c r="D27" s="61"/>
      <c r="E27" s="61"/>
      <c r="F27" s="62"/>
      <c r="G27" s="61"/>
      <c r="H27" s="61"/>
      <c r="I27" s="61"/>
    </row>
    <row r="28" customFormat="false" ht="18.75" hidden="false" customHeight="true" outlineLevel="0" collapsed="false">
      <c r="B28" s="63"/>
      <c r="C28" s="63"/>
      <c r="D28" s="63"/>
      <c r="E28" s="63"/>
      <c r="F28" s="64"/>
      <c r="G28" s="63"/>
      <c r="H28" s="63"/>
      <c r="I28" s="63"/>
    </row>
    <row r="29" customFormat="false" ht="18.75" hidden="false" customHeight="true" outlineLevel="0" collapsed="false">
      <c r="B29" s="61"/>
      <c r="C29" s="61"/>
      <c r="D29" s="61"/>
      <c r="E29" s="61"/>
      <c r="F29" s="62"/>
      <c r="G29" s="61"/>
      <c r="H29" s="61"/>
      <c r="I29" s="61"/>
    </row>
    <row r="30" customFormat="false" ht="18.75" hidden="false" customHeight="true" outlineLevel="0" collapsed="false">
      <c r="B30" s="63"/>
      <c r="C30" s="63"/>
      <c r="D30" s="63"/>
      <c r="E30" s="63"/>
      <c r="F30" s="64"/>
      <c r="G30" s="63"/>
      <c r="H30" s="63"/>
      <c r="I30" s="63"/>
    </row>
    <row r="31" customFormat="false" ht="18.75" hidden="false" customHeight="true" outlineLevel="0" collapsed="false">
      <c r="B31" s="61"/>
      <c r="C31" s="61"/>
      <c r="D31" s="61"/>
      <c r="E31" s="61"/>
      <c r="F31" s="62"/>
      <c r="G31" s="61"/>
      <c r="H31" s="61"/>
      <c r="I31" s="61"/>
    </row>
    <row r="32" customFormat="false" ht="18.75" hidden="false" customHeight="true" outlineLevel="0" collapsed="false">
      <c r="B32" s="63"/>
      <c r="C32" s="63"/>
      <c r="D32" s="63"/>
      <c r="E32" s="63"/>
      <c r="F32" s="64"/>
      <c r="G32" s="63"/>
      <c r="H32" s="63"/>
      <c r="I32" s="63"/>
    </row>
    <row r="33" customFormat="false" ht="18.75" hidden="false" customHeight="true" outlineLevel="0" collapsed="false">
      <c r="B33" s="61"/>
      <c r="C33" s="61"/>
      <c r="D33" s="61"/>
      <c r="E33" s="61"/>
      <c r="F33" s="62"/>
      <c r="G33" s="61"/>
      <c r="H33" s="61"/>
      <c r="I33" s="61"/>
    </row>
    <row r="34" customFormat="false" ht="18.75" hidden="false" customHeight="true" outlineLevel="0" collapsed="false">
      <c r="B34" s="63"/>
      <c r="C34" s="63"/>
      <c r="D34" s="63"/>
      <c r="E34" s="63"/>
      <c r="F34" s="64"/>
      <c r="G34" s="63"/>
      <c r="H34" s="63"/>
      <c r="I34" s="63"/>
    </row>
    <row r="35" customFormat="false" ht="18.75" hidden="false" customHeight="true" outlineLevel="0" collapsed="false">
      <c r="B35" s="61"/>
      <c r="C35" s="61"/>
      <c r="D35" s="61"/>
      <c r="E35" s="61"/>
      <c r="F35" s="62"/>
      <c r="G35" s="61"/>
      <c r="H35" s="61"/>
      <c r="I35" s="61"/>
    </row>
    <row r="36" customFormat="false" ht="18.75" hidden="false" customHeight="true" outlineLevel="0" collapsed="false">
      <c r="B36" s="63"/>
      <c r="C36" s="63"/>
      <c r="D36" s="63"/>
      <c r="E36" s="63"/>
      <c r="F36" s="64"/>
      <c r="G36" s="63"/>
      <c r="H36" s="63"/>
      <c r="I36" s="63"/>
    </row>
    <row r="37" customFormat="false" ht="18.75" hidden="false" customHeight="true" outlineLevel="0" collapsed="false">
      <c r="B37" s="61"/>
      <c r="C37" s="61"/>
      <c r="D37" s="61"/>
      <c r="E37" s="61"/>
      <c r="F37" s="62"/>
      <c r="G37" s="61"/>
      <c r="H37" s="61"/>
      <c r="I37" s="61"/>
    </row>
    <row r="38" customFormat="false" ht="18.75" hidden="false" customHeight="true" outlineLevel="0" collapsed="false">
      <c r="B38" s="63"/>
      <c r="C38" s="63"/>
      <c r="D38" s="63"/>
      <c r="E38" s="63"/>
      <c r="F38" s="64"/>
      <c r="G38" s="63"/>
      <c r="H38" s="63"/>
      <c r="I38" s="63"/>
    </row>
    <row r="39" customFormat="false" ht="18.75" hidden="false" customHeight="true" outlineLevel="0" collapsed="false">
      <c r="B39" s="61"/>
      <c r="C39" s="61"/>
      <c r="D39" s="61"/>
      <c r="E39" s="61"/>
      <c r="F39" s="62"/>
      <c r="G39" s="61"/>
      <c r="H39" s="61"/>
      <c r="I39" s="61"/>
    </row>
    <row r="40" customFormat="false" ht="18.75" hidden="false" customHeight="true" outlineLevel="0" collapsed="false">
      <c r="B40" s="63"/>
      <c r="C40" s="63"/>
      <c r="D40" s="63"/>
      <c r="E40" s="63"/>
      <c r="F40" s="64"/>
      <c r="G40" s="63"/>
      <c r="H40" s="63"/>
      <c r="I40" s="63"/>
    </row>
    <row r="41" customFormat="false" ht="18.75" hidden="false" customHeight="true" outlineLevel="0" collapsed="false">
      <c r="B41" s="61"/>
      <c r="C41" s="61"/>
      <c r="D41" s="61"/>
      <c r="E41" s="61"/>
      <c r="F41" s="62"/>
      <c r="G41" s="61"/>
      <c r="H41" s="61"/>
      <c r="I41" s="61"/>
    </row>
    <row r="42" customFormat="false" ht="18.75" hidden="false" customHeight="true" outlineLevel="0" collapsed="false">
      <c r="B42" s="63"/>
      <c r="C42" s="63"/>
      <c r="D42" s="63"/>
      <c r="E42" s="63"/>
      <c r="F42" s="64"/>
      <c r="G42" s="63"/>
      <c r="H42" s="63"/>
      <c r="I42" s="63"/>
    </row>
    <row r="43" customFormat="false" ht="18.75" hidden="false" customHeight="true" outlineLevel="0" collapsed="false">
      <c r="B43" s="61"/>
      <c r="C43" s="61"/>
      <c r="D43" s="61"/>
      <c r="E43" s="61"/>
      <c r="F43" s="62"/>
      <c r="G43" s="61"/>
      <c r="H43" s="61"/>
      <c r="I43" s="61"/>
    </row>
    <row r="44" customFormat="false" ht="18.75" hidden="false" customHeight="true" outlineLevel="0" collapsed="false">
      <c r="B44" s="63"/>
      <c r="C44" s="63"/>
      <c r="D44" s="63"/>
      <c r="E44" s="63"/>
      <c r="F44" s="64"/>
      <c r="G44" s="63"/>
      <c r="H44" s="63"/>
      <c r="I44" s="63"/>
    </row>
    <row r="45" customFormat="false" ht="18.75" hidden="false" customHeight="true" outlineLevel="0" collapsed="false">
      <c r="B45" s="61"/>
      <c r="C45" s="61"/>
      <c r="D45" s="61"/>
      <c r="E45" s="61"/>
      <c r="F45" s="62"/>
      <c r="G45" s="61"/>
      <c r="H45" s="61"/>
      <c r="I45" s="61"/>
    </row>
    <row r="46" customFormat="false" ht="18.75" hidden="false" customHeight="true" outlineLevel="0" collapsed="false">
      <c r="B46" s="63"/>
      <c r="C46" s="63"/>
      <c r="D46" s="63"/>
      <c r="E46" s="63"/>
      <c r="F46" s="64"/>
      <c r="G46" s="63"/>
      <c r="H46" s="63"/>
      <c r="I46" s="63"/>
    </row>
    <row r="47" customFormat="false" ht="18.75" hidden="false" customHeight="true" outlineLevel="0" collapsed="false">
      <c r="B47" s="61"/>
      <c r="C47" s="61"/>
      <c r="D47" s="61"/>
      <c r="E47" s="61"/>
      <c r="F47" s="62"/>
      <c r="G47" s="61"/>
      <c r="H47" s="61"/>
      <c r="I47" s="61"/>
    </row>
    <row r="48" customFormat="false" ht="18.75" hidden="false" customHeight="true" outlineLevel="0" collapsed="false">
      <c r="B48" s="63"/>
      <c r="C48" s="63"/>
      <c r="D48" s="63"/>
      <c r="E48" s="63"/>
      <c r="F48" s="64"/>
      <c r="G48" s="63"/>
      <c r="H48" s="63"/>
      <c r="I48" s="63"/>
    </row>
    <row r="49" customFormat="false" ht="18.75" hidden="false" customHeight="true" outlineLevel="0" collapsed="false">
      <c r="B49" s="61"/>
      <c r="C49" s="61"/>
      <c r="D49" s="61"/>
      <c r="E49" s="61"/>
      <c r="F49" s="62"/>
      <c r="G49" s="61"/>
      <c r="H49" s="61"/>
      <c r="I49" s="61"/>
    </row>
    <row r="50" customFormat="false" ht="18.75" hidden="false" customHeight="true" outlineLevel="0" collapsed="false">
      <c r="B50" s="63"/>
      <c r="C50" s="63"/>
      <c r="D50" s="63"/>
      <c r="E50" s="63"/>
      <c r="F50" s="64"/>
      <c r="G50" s="63"/>
      <c r="H50" s="63"/>
      <c r="I50" s="63"/>
    </row>
    <row r="51" customFormat="false" ht="18.75" hidden="false" customHeight="true" outlineLevel="0" collapsed="false">
      <c r="B51" s="61"/>
      <c r="C51" s="61"/>
      <c r="D51" s="61"/>
      <c r="E51" s="61"/>
      <c r="F51" s="62"/>
      <c r="G51" s="61"/>
      <c r="H51" s="61"/>
      <c r="I51" s="61"/>
    </row>
    <row r="52" customFormat="false" ht="18.75" hidden="false" customHeight="true" outlineLevel="0" collapsed="false">
      <c r="B52" s="63"/>
      <c r="C52" s="63"/>
      <c r="D52" s="63"/>
      <c r="E52" s="63"/>
      <c r="F52" s="64"/>
      <c r="G52" s="63"/>
      <c r="H52" s="63"/>
      <c r="I52" s="63"/>
    </row>
    <row r="53" customFormat="false" ht="18.75" hidden="false" customHeight="true" outlineLevel="0" collapsed="false">
      <c r="B53" s="61"/>
      <c r="C53" s="61"/>
      <c r="D53" s="61"/>
      <c r="E53" s="61"/>
      <c r="F53" s="62"/>
      <c r="G53" s="61"/>
      <c r="H53" s="61"/>
      <c r="I53" s="61"/>
    </row>
    <row r="54" customFormat="false" ht="18.75" hidden="false" customHeight="true" outlineLevel="0" collapsed="false">
      <c r="B54" s="63"/>
      <c r="C54" s="63"/>
      <c r="D54" s="63"/>
      <c r="E54" s="63"/>
      <c r="F54" s="64"/>
      <c r="G54" s="63"/>
      <c r="H54" s="63"/>
      <c r="I54" s="63"/>
    </row>
    <row r="55" customFormat="false" ht="18.75" hidden="false" customHeight="true" outlineLevel="0" collapsed="false">
      <c r="B55" s="61"/>
      <c r="C55" s="61"/>
      <c r="D55" s="61"/>
      <c r="E55" s="61"/>
      <c r="F55" s="62"/>
      <c r="G55" s="61"/>
      <c r="H55" s="61"/>
      <c r="I55" s="61"/>
    </row>
    <row r="56" customFormat="false" ht="18.75" hidden="false" customHeight="true" outlineLevel="0" collapsed="false">
      <c r="B56" s="63"/>
      <c r="C56" s="63"/>
      <c r="D56" s="63"/>
      <c r="E56" s="63"/>
      <c r="F56" s="64"/>
      <c r="G56" s="63"/>
      <c r="H56" s="63"/>
      <c r="I56" s="63"/>
    </row>
    <row r="57" customFormat="false" ht="18.75" hidden="false" customHeight="true" outlineLevel="0" collapsed="false">
      <c r="B57" s="61"/>
      <c r="C57" s="61"/>
      <c r="D57" s="61"/>
      <c r="E57" s="61"/>
      <c r="F57" s="62"/>
      <c r="G57" s="61"/>
      <c r="H57" s="61"/>
      <c r="I57" s="61"/>
    </row>
    <row r="58" customFormat="false" ht="18.75" hidden="false" customHeight="true" outlineLevel="0" collapsed="false">
      <c r="B58" s="63"/>
      <c r="C58" s="63"/>
      <c r="D58" s="63"/>
      <c r="E58" s="63"/>
      <c r="F58" s="64"/>
      <c r="G58" s="63"/>
      <c r="H58" s="63"/>
      <c r="I58" s="63"/>
    </row>
    <row r="59" customFormat="false" ht="18.75" hidden="false" customHeight="true" outlineLevel="0" collapsed="false">
      <c r="B59" s="61"/>
      <c r="C59" s="61"/>
      <c r="D59" s="61"/>
      <c r="E59" s="61"/>
      <c r="F59" s="62"/>
      <c r="G59" s="61"/>
      <c r="H59" s="61"/>
      <c r="I59" s="61"/>
    </row>
    <row r="60" customFormat="false" ht="18.75" hidden="false" customHeight="true" outlineLevel="0" collapsed="false">
      <c r="B60" s="63"/>
      <c r="C60" s="63"/>
      <c r="D60" s="63"/>
      <c r="E60" s="63"/>
      <c r="F60" s="64"/>
      <c r="G60" s="63"/>
      <c r="H60" s="63"/>
      <c r="I60" s="63"/>
    </row>
    <row r="61" customFormat="false" ht="18.75" hidden="false" customHeight="true" outlineLevel="0" collapsed="false">
      <c r="B61" s="61"/>
      <c r="C61" s="61"/>
      <c r="D61" s="61"/>
      <c r="E61" s="61"/>
      <c r="F61" s="62"/>
      <c r="G61" s="61"/>
      <c r="H61" s="61"/>
      <c r="I61" s="61"/>
    </row>
    <row r="62" customFormat="false" ht="18.75" hidden="false" customHeight="true" outlineLevel="0" collapsed="false">
      <c r="B62" s="63"/>
      <c r="C62" s="63"/>
      <c r="D62" s="63"/>
      <c r="E62" s="63"/>
      <c r="F62" s="64"/>
      <c r="G62" s="63"/>
      <c r="H62" s="63"/>
      <c r="I62" s="63"/>
    </row>
    <row r="63" customFormat="false" ht="18.75" hidden="false" customHeight="true" outlineLevel="0" collapsed="false">
      <c r="B63" s="61"/>
      <c r="C63" s="61"/>
      <c r="D63" s="61"/>
      <c r="E63" s="61"/>
      <c r="F63" s="62"/>
      <c r="G63" s="61"/>
      <c r="H63" s="61"/>
      <c r="I63" s="61"/>
    </row>
    <row r="64" customFormat="false" ht="18.75" hidden="false" customHeight="true" outlineLevel="0" collapsed="false">
      <c r="B64" s="63"/>
      <c r="C64" s="63"/>
      <c r="D64" s="63"/>
      <c r="E64" s="63"/>
      <c r="F64" s="64"/>
      <c r="G64" s="63"/>
      <c r="H64" s="63"/>
      <c r="I64" s="63"/>
    </row>
    <row r="65" customFormat="false" ht="18.75" hidden="false" customHeight="true" outlineLevel="0" collapsed="false">
      <c r="B65" s="61"/>
      <c r="C65" s="61"/>
      <c r="D65" s="61"/>
      <c r="E65" s="61"/>
      <c r="F65" s="62"/>
      <c r="G65" s="61"/>
      <c r="H65" s="61"/>
      <c r="I65" s="61"/>
    </row>
    <row r="66" customFormat="false" ht="18.75" hidden="false" customHeight="true" outlineLevel="0" collapsed="false">
      <c r="B66" s="63"/>
      <c r="C66" s="63"/>
      <c r="D66" s="63"/>
      <c r="E66" s="63"/>
      <c r="F66" s="64"/>
      <c r="G66" s="63"/>
      <c r="H66" s="63"/>
      <c r="I66" s="63"/>
    </row>
    <row r="67" customFormat="false" ht="18.75" hidden="false" customHeight="true" outlineLevel="0" collapsed="false">
      <c r="B67" s="61"/>
      <c r="C67" s="61"/>
      <c r="D67" s="61"/>
      <c r="E67" s="61"/>
      <c r="F67" s="62"/>
      <c r="G67" s="61"/>
      <c r="H67" s="61"/>
      <c r="I67" s="61"/>
    </row>
    <row r="68" customFormat="false" ht="18.75" hidden="false" customHeight="true" outlineLevel="0" collapsed="false">
      <c r="B68" s="63"/>
      <c r="C68" s="63"/>
      <c r="D68" s="63"/>
      <c r="E68" s="63"/>
      <c r="F68" s="64"/>
      <c r="G68" s="63"/>
      <c r="H68" s="63"/>
      <c r="I68" s="63"/>
    </row>
    <row r="69" customFormat="false" ht="18.75" hidden="false" customHeight="true" outlineLevel="0" collapsed="false">
      <c r="B69" s="61"/>
      <c r="C69" s="61"/>
      <c r="D69" s="61"/>
      <c r="E69" s="61"/>
      <c r="F69" s="62"/>
      <c r="G69" s="61"/>
      <c r="H69" s="61"/>
      <c r="I69" s="61"/>
    </row>
    <row r="70" customFormat="false" ht="18.75" hidden="false" customHeight="true" outlineLevel="0" collapsed="false">
      <c r="B70" s="63"/>
      <c r="C70" s="63"/>
      <c r="D70" s="63"/>
      <c r="E70" s="63"/>
      <c r="F70" s="64"/>
      <c r="G70" s="63"/>
      <c r="H70" s="63"/>
      <c r="I70" s="63"/>
    </row>
    <row r="71" customFormat="false" ht="18.75" hidden="false" customHeight="true" outlineLevel="0" collapsed="false">
      <c r="B71" s="61"/>
      <c r="C71" s="61"/>
      <c r="D71" s="61"/>
      <c r="E71" s="61"/>
      <c r="F71" s="62"/>
      <c r="G71" s="61"/>
      <c r="H71" s="61"/>
      <c r="I71" s="61"/>
    </row>
    <row r="72" customFormat="false" ht="18.75" hidden="false" customHeight="true" outlineLevel="0" collapsed="false">
      <c r="B72" s="63"/>
      <c r="C72" s="63"/>
      <c r="D72" s="63"/>
      <c r="E72" s="63"/>
      <c r="F72" s="64"/>
      <c r="G72" s="63"/>
      <c r="H72" s="63"/>
      <c r="I72" s="63"/>
    </row>
    <row r="73" customFormat="false" ht="18.75" hidden="false" customHeight="true" outlineLevel="0" collapsed="false">
      <c r="B73" s="61"/>
      <c r="C73" s="61"/>
      <c r="D73" s="61"/>
      <c r="E73" s="61"/>
      <c r="F73" s="62"/>
      <c r="G73" s="61"/>
      <c r="H73" s="61"/>
      <c r="I73" s="61"/>
    </row>
    <row r="74" customFormat="false" ht="18.75" hidden="false" customHeight="true" outlineLevel="0" collapsed="false">
      <c r="B74" s="63"/>
      <c r="C74" s="63"/>
      <c r="D74" s="63"/>
      <c r="E74" s="63"/>
      <c r="F74" s="64"/>
      <c r="G74" s="63"/>
      <c r="H74" s="63"/>
      <c r="I74" s="63"/>
    </row>
    <row r="75" customFormat="false" ht="18.75" hidden="false" customHeight="true" outlineLevel="0" collapsed="false">
      <c r="B75" s="61"/>
      <c r="C75" s="61"/>
      <c r="D75" s="61"/>
      <c r="E75" s="61"/>
      <c r="F75" s="62"/>
      <c r="G75" s="61"/>
      <c r="H75" s="61"/>
      <c r="I75" s="61"/>
    </row>
    <row r="76" customFormat="false" ht="18.75" hidden="false" customHeight="true" outlineLevel="0" collapsed="false">
      <c r="B76" s="63"/>
      <c r="C76" s="63"/>
      <c r="D76" s="63"/>
      <c r="E76" s="63"/>
      <c r="F76" s="64"/>
      <c r="G76" s="63"/>
      <c r="H76" s="63"/>
      <c r="I76" s="63"/>
    </row>
    <row r="77" customFormat="false" ht="18.75" hidden="false" customHeight="true" outlineLevel="0" collapsed="false">
      <c r="B77" s="61"/>
      <c r="C77" s="61"/>
      <c r="D77" s="61"/>
      <c r="E77" s="61"/>
      <c r="F77" s="62"/>
      <c r="G77" s="61"/>
      <c r="H77" s="61"/>
      <c r="I77" s="61"/>
    </row>
    <row r="78" customFormat="false" ht="18.75" hidden="false" customHeight="true" outlineLevel="0" collapsed="false">
      <c r="B78" s="63"/>
      <c r="C78" s="63"/>
      <c r="D78" s="63"/>
      <c r="E78" s="63"/>
      <c r="F78" s="64"/>
      <c r="G78" s="63"/>
      <c r="H78" s="63"/>
      <c r="I78" s="63"/>
    </row>
    <row r="79" customFormat="false" ht="18.75" hidden="false" customHeight="true" outlineLevel="0" collapsed="false">
      <c r="B79" s="61"/>
      <c r="C79" s="61"/>
      <c r="D79" s="61"/>
      <c r="E79" s="61"/>
      <c r="F79" s="62"/>
      <c r="G79" s="61"/>
      <c r="H79" s="61"/>
      <c r="I79" s="61"/>
    </row>
    <row r="80" customFormat="false" ht="18.75" hidden="false" customHeight="true" outlineLevel="0" collapsed="false">
      <c r="B80" s="63"/>
      <c r="C80" s="63"/>
      <c r="D80" s="63"/>
      <c r="E80" s="63"/>
      <c r="F80" s="64"/>
      <c r="G80" s="63"/>
      <c r="H80" s="63"/>
      <c r="I80" s="63"/>
    </row>
    <row r="81" customFormat="false" ht="18.75" hidden="false" customHeight="true" outlineLevel="0" collapsed="false">
      <c r="B81" s="61"/>
      <c r="C81" s="61"/>
      <c r="D81" s="61"/>
      <c r="E81" s="61"/>
      <c r="F81" s="62"/>
      <c r="G81" s="61"/>
      <c r="H81" s="61"/>
      <c r="I81" s="61"/>
    </row>
    <row r="82" customFormat="false" ht="18.75" hidden="false" customHeight="true" outlineLevel="0" collapsed="false">
      <c r="B82" s="63"/>
      <c r="C82" s="63"/>
      <c r="D82" s="63"/>
      <c r="E82" s="63"/>
      <c r="F82" s="64"/>
      <c r="G82" s="63"/>
      <c r="H82" s="63"/>
      <c r="I82" s="63"/>
    </row>
    <row r="83" customFormat="false" ht="18.75" hidden="false" customHeight="true" outlineLevel="0" collapsed="false">
      <c r="B83" s="61"/>
      <c r="C83" s="61"/>
      <c r="D83" s="61"/>
      <c r="E83" s="61"/>
      <c r="F83" s="62"/>
      <c r="G83" s="61"/>
      <c r="H83" s="61"/>
      <c r="I83" s="61"/>
    </row>
    <row r="84" customFormat="false" ht="18.75" hidden="false" customHeight="true" outlineLevel="0" collapsed="false">
      <c r="B84" s="63"/>
      <c r="C84" s="63"/>
      <c r="D84" s="63"/>
      <c r="E84" s="63"/>
      <c r="F84" s="64"/>
      <c r="G84" s="63"/>
      <c r="H84" s="63"/>
      <c r="I84" s="63"/>
    </row>
    <row r="85" customFormat="false" ht="18.75" hidden="false" customHeight="true" outlineLevel="0" collapsed="false">
      <c r="B85" s="61"/>
      <c r="C85" s="61"/>
      <c r="D85" s="61"/>
      <c r="E85" s="61"/>
      <c r="F85" s="62"/>
      <c r="G85" s="61"/>
      <c r="H85" s="61"/>
      <c r="I85" s="61"/>
    </row>
    <row r="86" customFormat="false" ht="18.75" hidden="false" customHeight="true" outlineLevel="0" collapsed="false">
      <c r="B86" s="63"/>
      <c r="C86" s="63"/>
      <c r="D86" s="63"/>
      <c r="E86" s="63"/>
      <c r="F86" s="64"/>
      <c r="G86" s="63"/>
      <c r="H86" s="63"/>
      <c r="I86" s="63"/>
    </row>
    <row r="87" customFormat="false" ht="18.75" hidden="false" customHeight="true" outlineLevel="0" collapsed="false">
      <c r="B87" s="61"/>
      <c r="C87" s="61"/>
      <c r="D87" s="61"/>
      <c r="E87" s="61"/>
      <c r="F87" s="62"/>
      <c r="G87" s="61"/>
      <c r="H87" s="61"/>
      <c r="I87" s="61"/>
    </row>
    <row r="88" customFormat="false" ht="18.75" hidden="false" customHeight="true" outlineLevel="0" collapsed="false">
      <c r="B88" s="63"/>
      <c r="C88" s="63"/>
      <c r="D88" s="63"/>
      <c r="E88" s="63"/>
      <c r="F88" s="64"/>
      <c r="G88" s="63"/>
      <c r="H88" s="63"/>
      <c r="I88" s="63"/>
    </row>
    <row r="89" customFormat="false" ht="18.75" hidden="false" customHeight="true" outlineLevel="0" collapsed="false">
      <c r="B89" s="61"/>
      <c r="C89" s="61"/>
      <c r="D89" s="61"/>
      <c r="E89" s="61"/>
      <c r="F89" s="62"/>
      <c r="G89" s="61"/>
      <c r="H89" s="61"/>
      <c r="I89" s="61"/>
    </row>
    <row r="90" customFormat="false" ht="18.75" hidden="false" customHeight="true" outlineLevel="0" collapsed="false">
      <c r="B90" s="63"/>
      <c r="C90" s="63"/>
      <c r="D90" s="63"/>
      <c r="E90" s="63"/>
      <c r="F90" s="64"/>
      <c r="G90" s="63"/>
      <c r="H90" s="63"/>
      <c r="I90" s="63"/>
    </row>
    <row r="91" customFormat="false" ht="18.75" hidden="false" customHeight="true" outlineLevel="0" collapsed="false">
      <c r="B91" s="61"/>
      <c r="C91" s="61"/>
      <c r="D91" s="61"/>
      <c r="E91" s="61"/>
      <c r="F91" s="62"/>
      <c r="G91" s="61"/>
      <c r="H91" s="61"/>
      <c r="I91" s="61"/>
    </row>
    <row r="92" customFormat="false" ht="18.75" hidden="false" customHeight="true" outlineLevel="0" collapsed="false">
      <c r="B92" s="63"/>
      <c r="C92" s="63"/>
      <c r="D92" s="63"/>
      <c r="E92" s="63"/>
      <c r="F92" s="64"/>
      <c r="G92" s="63"/>
      <c r="H92" s="63"/>
      <c r="I92" s="63"/>
    </row>
    <row r="93" customFormat="false" ht="18.75" hidden="false" customHeight="true" outlineLevel="0" collapsed="false">
      <c r="B93" s="61"/>
      <c r="C93" s="61"/>
      <c r="D93" s="61"/>
      <c r="E93" s="61"/>
      <c r="F93" s="62"/>
      <c r="G93" s="61"/>
      <c r="H93" s="61"/>
      <c r="I93" s="61"/>
    </row>
    <row r="94" customFormat="false" ht="18.75" hidden="false" customHeight="true" outlineLevel="0" collapsed="false">
      <c r="B94" s="63"/>
      <c r="C94" s="63"/>
      <c r="D94" s="63"/>
      <c r="E94" s="63"/>
      <c r="F94" s="64"/>
      <c r="G94" s="63"/>
      <c r="H94" s="63"/>
      <c r="I94" s="63"/>
    </row>
    <row r="95" customFormat="false" ht="18.75" hidden="false" customHeight="true" outlineLevel="0" collapsed="false">
      <c r="B95" s="61"/>
      <c r="C95" s="61"/>
      <c r="D95" s="61"/>
      <c r="E95" s="61"/>
      <c r="F95" s="62"/>
      <c r="G95" s="61"/>
      <c r="H95" s="61"/>
      <c r="I95" s="61"/>
    </row>
    <row r="96" customFormat="false" ht="18.75" hidden="false" customHeight="true" outlineLevel="0" collapsed="false">
      <c r="B96" s="63"/>
      <c r="C96" s="63"/>
      <c r="D96" s="63"/>
      <c r="E96" s="63"/>
      <c r="F96" s="64"/>
      <c r="G96" s="63"/>
      <c r="H96" s="63"/>
      <c r="I96" s="63"/>
    </row>
    <row r="97" customFormat="false" ht="18.75" hidden="false" customHeight="true" outlineLevel="0" collapsed="false">
      <c r="B97" s="61"/>
      <c r="C97" s="61"/>
      <c r="D97" s="61"/>
      <c r="E97" s="61"/>
      <c r="F97" s="62"/>
      <c r="G97" s="61"/>
      <c r="H97" s="61"/>
      <c r="I97" s="61"/>
    </row>
    <row r="98" customFormat="false" ht="18.75" hidden="false" customHeight="true" outlineLevel="0" collapsed="false">
      <c r="B98" s="63"/>
      <c r="C98" s="63"/>
      <c r="D98" s="63"/>
      <c r="E98" s="63"/>
      <c r="F98" s="64"/>
      <c r="G98" s="63"/>
      <c r="H98" s="63"/>
      <c r="I98" s="63"/>
    </row>
    <row r="99" customFormat="false" ht="18.75" hidden="false" customHeight="true" outlineLevel="0" collapsed="false">
      <c r="B99" s="61"/>
      <c r="C99" s="61"/>
      <c r="D99" s="61"/>
      <c r="E99" s="61"/>
      <c r="F99" s="62"/>
      <c r="G99" s="61"/>
      <c r="H99" s="61"/>
      <c r="I99" s="61"/>
    </row>
    <row r="100" customFormat="false" ht="18.75" hidden="false" customHeight="true" outlineLevel="0" collapsed="false">
      <c r="B100" s="63"/>
      <c r="C100" s="63"/>
      <c r="D100" s="63"/>
      <c r="E100" s="63"/>
      <c r="F100" s="64"/>
      <c r="G100" s="63"/>
      <c r="H100" s="63"/>
      <c r="I100" s="63"/>
    </row>
    <row r="101" customFormat="false" ht="18.75" hidden="false" customHeight="true" outlineLevel="0" collapsed="false">
      <c r="B101" s="61"/>
      <c r="C101" s="61"/>
      <c r="D101" s="61"/>
      <c r="E101" s="61"/>
      <c r="F101" s="62"/>
      <c r="G101" s="61"/>
      <c r="H101" s="61"/>
      <c r="I101" s="61"/>
    </row>
    <row r="102" customFormat="false" ht="18.75" hidden="false" customHeight="true" outlineLevel="0" collapsed="false">
      <c r="B102" s="63"/>
      <c r="C102" s="63"/>
      <c r="D102" s="63"/>
      <c r="E102" s="63"/>
      <c r="F102" s="64"/>
      <c r="G102" s="63"/>
      <c r="H102" s="63"/>
      <c r="I102" s="63"/>
    </row>
    <row r="103" customFormat="false" ht="18.75" hidden="false" customHeight="true" outlineLevel="0" collapsed="false">
      <c r="B103" s="61"/>
      <c r="C103" s="61"/>
      <c r="D103" s="61"/>
      <c r="E103" s="61"/>
      <c r="F103" s="62"/>
      <c r="G103" s="61"/>
      <c r="H103" s="61"/>
      <c r="I103" s="61"/>
    </row>
    <row r="104" customFormat="false" ht="18.75" hidden="false" customHeight="true" outlineLevel="0" collapsed="false">
      <c r="B104" s="63"/>
      <c r="C104" s="63"/>
      <c r="D104" s="63"/>
      <c r="E104" s="63"/>
      <c r="F104" s="64"/>
      <c r="G104" s="63"/>
      <c r="H104" s="63"/>
      <c r="I104" s="63"/>
    </row>
    <row r="105" customFormat="false" ht="18.75" hidden="false" customHeight="true" outlineLevel="0" collapsed="false">
      <c r="B105" s="61"/>
      <c r="C105" s="61"/>
      <c r="D105" s="61"/>
      <c r="E105" s="61"/>
      <c r="F105" s="62"/>
      <c r="G105" s="61"/>
      <c r="H105" s="61"/>
      <c r="I105" s="61"/>
    </row>
    <row r="106" customFormat="false" ht="18.75" hidden="false" customHeight="true" outlineLevel="0" collapsed="false">
      <c r="B106" s="63"/>
      <c r="C106" s="63"/>
      <c r="D106" s="63"/>
      <c r="E106" s="63"/>
      <c r="F106" s="64"/>
      <c r="G106" s="63"/>
      <c r="H106" s="63"/>
      <c r="I106" s="63"/>
    </row>
    <row r="107" customFormat="false" ht="18.75" hidden="false" customHeight="true" outlineLevel="0" collapsed="false">
      <c r="B107" s="61"/>
      <c r="C107" s="61"/>
      <c r="D107" s="61"/>
      <c r="E107" s="61"/>
      <c r="F107" s="62"/>
      <c r="G107" s="61"/>
      <c r="H107" s="61"/>
      <c r="I107" s="61"/>
    </row>
    <row r="108" customFormat="false" ht="18.75" hidden="false" customHeight="true" outlineLevel="0" collapsed="false">
      <c r="B108" s="65" t="s">
        <v>96</v>
      </c>
      <c r="C108" s="65"/>
      <c r="D108" s="65"/>
      <c r="E108" s="65"/>
      <c r="F108" s="66" t="n">
        <f aca="false">SUM(E8:E107)</f>
        <v>0</v>
      </c>
    </row>
    <row r="109" customFormat="false" ht="18.75" hidden="false" customHeight="true" outlineLevel="0" collapsed="false"/>
    <row r="110" customFormat="false" ht="18.75" hidden="false" customHeight="true" outlineLevel="0" collapsed="false">
      <c r="B110" s="67" t="s">
        <v>97</v>
      </c>
      <c r="C110" s="67"/>
      <c r="D110" s="67"/>
      <c r="E110" s="67"/>
      <c r="F110" s="67"/>
      <c r="G110" s="67"/>
      <c r="H110" s="67"/>
    </row>
    <row r="111" customFormat="false" ht="18.75" hidden="false" customHeight="true" outlineLevel="0" collapsed="false"/>
    <row r="112" customFormat="false" ht="18.75" hidden="false" customHeight="true" outlineLevel="0" collapsed="false"/>
    <row r="113" customFormat="false" ht="18.75" hidden="false" customHeight="true" outlineLevel="0" collapsed="false"/>
    <row r="114" customFormat="false" ht="18.75" hidden="false" customHeight="true" outlineLevel="0" collapsed="false"/>
    <row r="115" customFormat="false" ht="18.75" hidden="false" customHeight="true" outlineLevel="0" collapsed="false"/>
    <row r="116" customFormat="false" ht="18.75" hidden="false" customHeight="true" outlineLevel="0" collapsed="false"/>
    <row r="117" customFormat="false" ht="18.75" hidden="false" customHeight="true" outlineLevel="0" collapsed="false"/>
    <row r="118" customFormat="false" ht="18.75" hidden="false" customHeight="true" outlineLevel="0" collapsed="false"/>
    <row r="119" customFormat="false" ht="18.75" hidden="false" customHeight="true" outlineLevel="0" collapsed="false"/>
  </sheetData>
  <mergeCells count="9">
    <mergeCell ref="B1:H2"/>
    <mergeCell ref="B4:C4"/>
    <mergeCell ref="D4:E4"/>
    <mergeCell ref="F4:G4"/>
    <mergeCell ref="B5:C5"/>
    <mergeCell ref="D5:E5"/>
    <mergeCell ref="F5:G5"/>
    <mergeCell ref="B108:E108"/>
    <mergeCell ref="B110:H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4"/>
  </cols>
  <sheetData>
    <row r="1" customFormat="false" ht="18.75" hidden="false" customHeight="true" outlineLevel="0" collapsed="false">
      <c r="B1" s="48" t="s">
        <v>116</v>
      </c>
      <c r="C1" s="48"/>
      <c r="D1" s="48"/>
      <c r="E1" s="48"/>
      <c r="F1" s="48"/>
      <c r="G1" s="48"/>
      <c r="H1" s="48"/>
    </row>
    <row r="2" customFormat="false" ht="18.75" hidden="false" customHeight="true" outlineLevel="0" collapsed="false">
      <c r="B2" s="48"/>
      <c r="C2" s="48"/>
      <c r="D2" s="48"/>
      <c r="E2" s="48"/>
      <c r="F2" s="48"/>
      <c r="G2" s="48"/>
      <c r="H2" s="48"/>
    </row>
    <row r="3" customFormat="false" ht="18.75" hidden="false" customHeight="true" outlineLevel="0" collapsed="false"/>
    <row r="4" customFormat="false" ht="18.75" hidden="false" customHeight="true" outlineLevel="0" collapsed="false">
      <c r="B4" s="49" t="s">
        <v>51</v>
      </c>
      <c r="C4" s="49"/>
      <c r="D4" s="50" t="s">
        <v>52</v>
      </c>
      <c r="E4" s="50"/>
      <c r="F4" s="51" t="s">
        <v>53</v>
      </c>
      <c r="G4" s="51"/>
    </row>
    <row r="5" customFormat="false" ht="18.75" hidden="false" customHeight="true" outlineLevel="0" collapsed="false">
      <c r="B5" s="52" t="n">
        <f aca="false">SUMIF(C8:C107,"Receita",E8:E107)</f>
        <v>0</v>
      </c>
      <c r="C5" s="52"/>
      <c r="D5" s="53" t="n">
        <f aca="false">SUMIF(C8:C107,"Despesa",E8:E107)</f>
        <v>0</v>
      </c>
      <c r="E5" s="53"/>
      <c r="F5" s="54" t="n">
        <f aca="false">B5-D5</f>
        <v>0</v>
      </c>
      <c r="G5" s="54"/>
    </row>
    <row r="6" customFormat="false" ht="18.75" hidden="false" customHeight="true" outlineLevel="0" collapsed="false"/>
    <row r="7" customFormat="false" ht="18.75" hidden="false" customHeight="true" outlineLevel="0" collapsed="false">
      <c r="B7" s="24" t="s">
        <v>54</v>
      </c>
      <c r="C7" s="24" t="s">
        <v>55</v>
      </c>
      <c r="D7" s="24" t="s">
        <v>20</v>
      </c>
      <c r="E7" s="24" t="s">
        <v>19</v>
      </c>
      <c r="F7" s="24" t="s">
        <v>56</v>
      </c>
      <c r="G7" s="24" t="s">
        <v>25</v>
      </c>
      <c r="H7" s="24" t="s">
        <v>57</v>
      </c>
      <c r="I7" s="24" t="s">
        <v>58</v>
      </c>
    </row>
    <row r="8" customFormat="false" ht="18.75" hidden="false" customHeight="true" outlineLevel="0" collapsed="false">
      <c r="B8" s="55" t="s">
        <v>117</v>
      </c>
      <c r="C8" s="56" t="s">
        <v>60</v>
      </c>
      <c r="D8" s="55" t="s">
        <v>61</v>
      </c>
      <c r="E8" s="55" t="s">
        <v>62</v>
      </c>
      <c r="F8" s="57" t="n">
        <v>3500</v>
      </c>
      <c r="G8" s="55" t="s">
        <v>63</v>
      </c>
      <c r="H8" s="55" t="s">
        <v>64</v>
      </c>
      <c r="I8" s="55" t="s">
        <v>65</v>
      </c>
    </row>
    <row r="9" customFormat="false" ht="18.75" hidden="false" customHeight="true" outlineLevel="0" collapsed="false">
      <c r="B9" s="58" t="s">
        <v>117</v>
      </c>
      <c r="C9" s="59" t="s">
        <v>66</v>
      </c>
      <c r="D9" s="58" t="s">
        <v>61</v>
      </c>
      <c r="E9" s="58" t="s">
        <v>62</v>
      </c>
      <c r="F9" s="60" t="n">
        <v>500</v>
      </c>
      <c r="G9" s="58" t="s">
        <v>63</v>
      </c>
      <c r="H9" s="58" t="s">
        <v>67</v>
      </c>
      <c r="I9" s="58" t="s">
        <v>68</v>
      </c>
    </row>
    <row r="10" customFormat="false" ht="18.75" hidden="false" customHeight="true" outlineLevel="0" collapsed="false">
      <c r="B10" s="55" t="s">
        <v>118</v>
      </c>
      <c r="C10" s="56" t="s">
        <v>70</v>
      </c>
      <c r="D10" s="55" t="s">
        <v>71</v>
      </c>
      <c r="E10" s="55" t="s">
        <v>26</v>
      </c>
      <c r="F10" s="57" t="n">
        <v>1200</v>
      </c>
      <c r="G10" s="55" t="s">
        <v>72</v>
      </c>
      <c r="H10" s="55" t="s">
        <v>73</v>
      </c>
      <c r="I10" s="55" t="s">
        <v>74</v>
      </c>
    </row>
    <row r="11" customFormat="false" ht="18.75" hidden="false" customHeight="true" outlineLevel="0" collapsed="false">
      <c r="B11" s="58" t="s">
        <v>119</v>
      </c>
      <c r="C11" s="59" t="s">
        <v>76</v>
      </c>
      <c r="D11" s="58" t="s">
        <v>71</v>
      </c>
      <c r="E11" s="58" t="s">
        <v>30</v>
      </c>
      <c r="F11" s="60" t="n">
        <v>450</v>
      </c>
      <c r="G11" s="58" t="s">
        <v>72</v>
      </c>
      <c r="H11" s="58" t="s">
        <v>77</v>
      </c>
      <c r="I11" s="58" t="s">
        <v>78</v>
      </c>
    </row>
    <row r="12" customFormat="false" ht="18.75" hidden="false" customHeight="true" outlineLevel="0" collapsed="false">
      <c r="B12" s="55" t="s">
        <v>120</v>
      </c>
      <c r="C12" s="56" t="s">
        <v>80</v>
      </c>
      <c r="D12" s="55" t="s">
        <v>71</v>
      </c>
      <c r="E12" s="55" t="s">
        <v>28</v>
      </c>
      <c r="F12" s="57" t="n">
        <v>150</v>
      </c>
      <c r="G12" s="55" t="s">
        <v>72</v>
      </c>
      <c r="H12" s="55" t="s">
        <v>81</v>
      </c>
      <c r="I12" s="55"/>
    </row>
    <row r="13" customFormat="false" ht="18.75" hidden="false" customHeight="true" outlineLevel="0" collapsed="false">
      <c r="B13" s="58" t="s">
        <v>121</v>
      </c>
      <c r="C13" s="59" t="s">
        <v>83</v>
      </c>
      <c r="D13" s="58" t="s">
        <v>71</v>
      </c>
      <c r="E13" s="58" t="s">
        <v>29</v>
      </c>
      <c r="F13" s="60" t="n">
        <v>200</v>
      </c>
      <c r="G13" s="58" t="s">
        <v>72</v>
      </c>
      <c r="H13" s="58" t="s">
        <v>84</v>
      </c>
      <c r="I13" s="58"/>
    </row>
    <row r="14" customFormat="false" ht="18.75" hidden="false" customHeight="true" outlineLevel="0" collapsed="false">
      <c r="B14" s="55" t="s">
        <v>122</v>
      </c>
      <c r="C14" s="56" t="s">
        <v>86</v>
      </c>
      <c r="D14" s="55" t="s">
        <v>71</v>
      </c>
      <c r="E14" s="55" t="s">
        <v>38</v>
      </c>
      <c r="F14" s="57" t="n">
        <v>500</v>
      </c>
      <c r="G14" s="55" t="s">
        <v>72</v>
      </c>
      <c r="H14" s="55" t="s">
        <v>87</v>
      </c>
      <c r="I14" s="55" t="s">
        <v>88</v>
      </c>
    </row>
    <row r="15" customFormat="false" ht="18.75" hidden="false" customHeight="true" outlineLevel="0" collapsed="false">
      <c r="B15" s="58" t="s">
        <v>123</v>
      </c>
      <c r="C15" s="59" t="s">
        <v>90</v>
      </c>
      <c r="D15" s="58" t="s">
        <v>71</v>
      </c>
      <c r="E15" s="58" t="s">
        <v>32</v>
      </c>
      <c r="F15" s="60" t="n">
        <v>100</v>
      </c>
      <c r="G15" s="58" t="s">
        <v>91</v>
      </c>
      <c r="H15" s="58" t="s">
        <v>92</v>
      </c>
      <c r="I15" s="58"/>
    </row>
    <row r="16" customFormat="false" ht="18.75" hidden="false" customHeight="true" outlineLevel="0" collapsed="false">
      <c r="B16" s="55" t="s">
        <v>124</v>
      </c>
      <c r="C16" s="56" t="s">
        <v>94</v>
      </c>
      <c r="D16" s="55" t="s">
        <v>71</v>
      </c>
      <c r="E16" s="55" t="s">
        <v>36</v>
      </c>
      <c r="F16" s="57" t="n">
        <v>60</v>
      </c>
      <c r="G16" s="55" t="s">
        <v>91</v>
      </c>
      <c r="H16" s="55" t="s">
        <v>95</v>
      </c>
      <c r="I16" s="55"/>
    </row>
    <row r="17" customFormat="false" ht="18.75" hidden="false" customHeight="true" outlineLevel="0" collapsed="false">
      <c r="B17" s="61"/>
      <c r="C17" s="61"/>
      <c r="D17" s="61"/>
      <c r="E17" s="61"/>
      <c r="F17" s="62"/>
      <c r="G17" s="61"/>
      <c r="H17" s="61"/>
      <c r="I17" s="61"/>
    </row>
    <row r="18" customFormat="false" ht="18.75" hidden="false" customHeight="true" outlineLevel="0" collapsed="false">
      <c r="B18" s="63"/>
      <c r="C18" s="63"/>
      <c r="D18" s="63"/>
      <c r="E18" s="63"/>
      <c r="F18" s="64"/>
      <c r="G18" s="63"/>
      <c r="H18" s="63"/>
      <c r="I18" s="63"/>
    </row>
    <row r="19" customFormat="false" ht="18.75" hidden="false" customHeight="true" outlineLevel="0" collapsed="false">
      <c r="B19" s="61"/>
      <c r="C19" s="61"/>
      <c r="D19" s="61"/>
      <c r="E19" s="61"/>
      <c r="F19" s="62"/>
      <c r="G19" s="61"/>
      <c r="H19" s="61"/>
      <c r="I19" s="61"/>
    </row>
    <row r="20" customFormat="false" ht="18.75" hidden="false" customHeight="true" outlineLevel="0" collapsed="false">
      <c r="B20" s="63"/>
      <c r="C20" s="63"/>
      <c r="D20" s="63"/>
      <c r="E20" s="63"/>
      <c r="F20" s="64"/>
      <c r="G20" s="63"/>
      <c r="H20" s="63"/>
      <c r="I20" s="63"/>
    </row>
    <row r="21" customFormat="false" ht="18.75" hidden="false" customHeight="true" outlineLevel="0" collapsed="false">
      <c r="B21" s="61"/>
      <c r="C21" s="61"/>
      <c r="D21" s="61"/>
      <c r="E21" s="61"/>
      <c r="F21" s="62"/>
      <c r="G21" s="61"/>
      <c r="H21" s="61"/>
      <c r="I21" s="61"/>
    </row>
    <row r="22" customFormat="false" ht="18.75" hidden="false" customHeight="true" outlineLevel="0" collapsed="false">
      <c r="B22" s="63"/>
      <c r="C22" s="63"/>
      <c r="D22" s="63"/>
      <c r="E22" s="63"/>
      <c r="F22" s="64"/>
      <c r="G22" s="63"/>
      <c r="H22" s="63"/>
      <c r="I22" s="63"/>
    </row>
    <row r="23" customFormat="false" ht="18.75" hidden="false" customHeight="true" outlineLevel="0" collapsed="false">
      <c r="B23" s="61"/>
      <c r="C23" s="61"/>
      <c r="D23" s="61"/>
      <c r="E23" s="61"/>
      <c r="F23" s="62"/>
      <c r="G23" s="61"/>
      <c r="H23" s="61"/>
      <c r="I23" s="61"/>
    </row>
    <row r="24" customFormat="false" ht="18.75" hidden="false" customHeight="true" outlineLevel="0" collapsed="false">
      <c r="B24" s="63"/>
      <c r="C24" s="63"/>
      <c r="D24" s="63"/>
      <c r="E24" s="63"/>
      <c r="F24" s="64"/>
      <c r="G24" s="63"/>
      <c r="H24" s="63"/>
      <c r="I24" s="63"/>
    </row>
    <row r="25" customFormat="false" ht="18.75" hidden="false" customHeight="true" outlineLevel="0" collapsed="false">
      <c r="B25" s="61"/>
      <c r="C25" s="61"/>
      <c r="D25" s="61"/>
      <c r="E25" s="61"/>
      <c r="F25" s="62"/>
      <c r="G25" s="61"/>
      <c r="H25" s="61"/>
      <c r="I25" s="61"/>
    </row>
    <row r="26" customFormat="false" ht="18.75" hidden="false" customHeight="true" outlineLevel="0" collapsed="false">
      <c r="B26" s="63"/>
      <c r="C26" s="63"/>
      <c r="D26" s="63"/>
      <c r="E26" s="63"/>
      <c r="F26" s="64"/>
      <c r="G26" s="63"/>
      <c r="H26" s="63"/>
      <c r="I26" s="63"/>
    </row>
    <row r="27" customFormat="false" ht="18.75" hidden="false" customHeight="true" outlineLevel="0" collapsed="false">
      <c r="B27" s="61"/>
      <c r="C27" s="61"/>
      <c r="D27" s="61"/>
      <c r="E27" s="61"/>
      <c r="F27" s="62"/>
      <c r="G27" s="61"/>
      <c r="H27" s="61"/>
      <c r="I27" s="61"/>
    </row>
    <row r="28" customFormat="false" ht="18.75" hidden="false" customHeight="true" outlineLevel="0" collapsed="false">
      <c r="B28" s="63"/>
      <c r="C28" s="63"/>
      <c r="D28" s="63"/>
      <c r="E28" s="63"/>
      <c r="F28" s="64"/>
      <c r="G28" s="63"/>
      <c r="H28" s="63"/>
      <c r="I28" s="63"/>
    </row>
    <row r="29" customFormat="false" ht="18.75" hidden="false" customHeight="true" outlineLevel="0" collapsed="false">
      <c r="B29" s="61"/>
      <c r="C29" s="61"/>
      <c r="D29" s="61"/>
      <c r="E29" s="61"/>
      <c r="F29" s="62"/>
      <c r="G29" s="61"/>
      <c r="H29" s="61"/>
      <c r="I29" s="61"/>
    </row>
    <row r="30" customFormat="false" ht="18.75" hidden="false" customHeight="true" outlineLevel="0" collapsed="false">
      <c r="B30" s="63"/>
      <c r="C30" s="63"/>
      <c r="D30" s="63"/>
      <c r="E30" s="63"/>
      <c r="F30" s="64"/>
      <c r="G30" s="63"/>
      <c r="H30" s="63"/>
      <c r="I30" s="63"/>
    </row>
    <row r="31" customFormat="false" ht="18.75" hidden="false" customHeight="true" outlineLevel="0" collapsed="false">
      <c r="B31" s="61"/>
      <c r="C31" s="61"/>
      <c r="D31" s="61"/>
      <c r="E31" s="61"/>
      <c r="F31" s="62"/>
      <c r="G31" s="61"/>
      <c r="H31" s="61"/>
      <c r="I31" s="61"/>
    </row>
    <row r="32" customFormat="false" ht="18.75" hidden="false" customHeight="true" outlineLevel="0" collapsed="false">
      <c r="B32" s="63"/>
      <c r="C32" s="63"/>
      <c r="D32" s="63"/>
      <c r="E32" s="63"/>
      <c r="F32" s="64"/>
      <c r="G32" s="63"/>
      <c r="H32" s="63"/>
      <c r="I32" s="63"/>
    </row>
    <row r="33" customFormat="false" ht="18.75" hidden="false" customHeight="true" outlineLevel="0" collapsed="false">
      <c r="B33" s="61"/>
      <c r="C33" s="61"/>
      <c r="D33" s="61"/>
      <c r="E33" s="61"/>
      <c r="F33" s="62"/>
      <c r="G33" s="61"/>
      <c r="H33" s="61"/>
      <c r="I33" s="61"/>
    </row>
    <row r="34" customFormat="false" ht="18.75" hidden="false" customHeight="true" outlineLevel="0" collapsed="false">
      <c r="B34" s="63"/>
      <c r="C34" s="63"/>
      <c r="D34" s="63"/>
      <c r="E34" s="63"/>
      <c r="F34" s="64"/>
      <c r="G34" s="63"/>
      <c r="H34" s="63"/>
      <c r="I34" s="63"/>
    </row>
    <row r="35" customFormat="false" ht="18.75" hidden="false" customHeight="true" outlineLevel="0" collapsed="false">
      <c r="B35" s="61"/>
      <c r="C35" s="61"/>
      <c r="D35" s="61"/>
      <c r="E35" s="61"/>
      <c r="F35" s="62"/>
      <c r="G35" s="61"/>
      <c r="H35" s="61"/>
      <c r="I35" s="61"/>
    </row>
    <row r="36" customFormat="false" ht="18.75" hidden="false" customHeight="true" outlineLevel="0" collapsed="false">
      <c r="B36" s="63"/>
      <c r="C36" s="63"/>
      <c r="D36" s="63"/>
      <c r="E36" s="63"/>
      <c r="F36" s="64"/>
      <c r="G36" s="63"/>
      <c r="H36" s="63"/>
      <c r="I36" s="63"/>
    </row>
    <row r="37" customFormat="false" ht="18.75" hidden="false" customHeight="true" outlineLevel="0" collapsed="false">
      <c r="B37" s="61"/>
      <c r="C37" s="61"/>
      <c r="D37" s="61"/>
      <c r="E37" s="61"/>
      <c r="F37" s="62"/>
      <c r="G37" s="61"/>
      <c r="H37" s="61"/>
      <c r="I37" s="61"/>
    </row>
    <row r="38" customFormat="false" ht="18.75" hidden="false" customHeight="true" outlineLevel="0" collapsed="false">
      <c r="B38" s="63"/>
      <c r="C38" s="63"/>
      <c r="D38" s="63"/>
      <c r="E38" s="63"/>
      <c r="F38" s="64"/>
      <c r="G38" s="63"/>
      <c r="H38" s="63"/>
      <c r="I38" s="63"/>
    </row>
    <row r="39" customFormat="false" ht="18.75" hidden="false" customHeight="true" outlineLevel="0" collapsed="false">
      <c r="B39" s="61"/>
      <c r="C39" s="61"/>
      <c r="D39" s="61"/>
      <c r="E39" s="61"/>
      <c r="F39" s="62"/>
      <c r="G39" s="61"/>
      <c r="H39" s="61"/>
      <c r="I39" s="61"/>
    </row>
    <row r="40" customFormat="false" ht="18.75" hidden="false" customHeight="true" outlineLevel="0" collapsed="false">
      <c r="B40" s="63"/>
      <c r="C40" s="63"/>
      <c r="D40" s="63"/>
      <c r="E40" s="63"/>
      <c r="F40" s="64"/>
      <c r="G40" s="63"/>
      <c r="H40" s="63"/>
      <c r="I40" s="63"/>
    </row>
    <row r="41" customFormat="false" ht="18.75" hidden="false" customHeight="true" outlineLevel="0" collapsed="false">
      <c r="B41" s="61"/>
      <c r="C41" s="61"/>
      <c r="D41" s="61"/>
      <c r="E41" s="61"/>
      <c r="F41" s="62"/>
      <c r="G41" s="61"/>
      <c r="H41" s="61"/>
      <c r="I41" s="61"/>
    </row>
    <row r="42" customFormat="false" ht="18.75" hidden="false" customHeight="true" outlineLevel="0" collapsed="false">
      <c r="B42" s="63"/>
      <c r="C42" s="63"/>
      <c r="D42" s="63"/>
      <c r="E42" s="63"/>
      <c r="F42" s="64"/>
      <c r="G42" s="63"/>
      <c r="H42" s="63"/>
      <c r="I42" s="63"/>
    </row>
    <row r="43" customFormat="false" ht="18.75" hidden="false" customHeight="true" outlineLevel="0" collapsed="false">
      <c r="B43" s="61"/>
      <c r="C43" s="61"/>
      <c r="D43" s="61"/>
      <c r="E43" s="61"/>
      <c r="F43" s="62"/>
      <c r="G43" s="61"/>
      <c r="H43" s="61"/>
      <c r="I43" s="61"/>
    </row>
    <row r="44" customFormat="false" ht="18.75" hidden="false" customHeight="true" outlineLevel="0" collapsed="false">
      <c r="B44" s="63"/>
      <c r="C44" s="63"/>
      <c r="D44" s="63"/>
      <c r="E44" s="63"/>
      <c r="F44" s="64"/>
      <c r="G44" s="63"/>
      <c r="H44" s="63"/>
      <c r="I44" s="63"/>
    </row>
    <row r="45" customFormat="false" ht="18.75" hidden="false" customHeight="true" outlineLevel="0" collapsed="false">
      <c r="B45" s="61"/>
      <c r="C45" s="61"/>
      <c r="D45" s="61"/>
      <c r="E45" s="61"/>
      <c r="F45" s="62"/>
      <c r="G45" s="61"/>
      <c r="H45" s="61"/>
      <c r="I45" s="61"/>
    </row>
    <row r="46" customFormat="false" ht="18.75" hidden="false" customHeight="true" outlineLevel="0" collapsed="false">
      <c r="B46" s="63"/>
      <c r="C46" s="63"/>
      <c r="D46" s="63"/>
      <c r="E46" s="63"/>
      <c r="F46" s="64"/>
      <c r="G46" s="63"/>
      <c r="H46" s="63"/>
      <c r="I46" s="63"/>
    </row>
    <row r="47" customFormat="false" ht="18.75" hidden="false" customHeight="true" outlineLevel="0" collapsed="false">
      <c r="B47" s="61"/>
      <c r="C47" s="61"/>
      <c r="D47" s="61"/>
      <c r="E47" s="61"/>
      <c r="F47" s="62"/>
      <c r="G47" s="61"/>
      <c r="H47" s="61"/>
      <c r="I47" s="61"/>
    </row>
    <row r="48" customFormat="false" ht="18.75" hidden="false" customHeight="true" outlineLevel="0" collapsed="false">
      <c r="B48" s="63"/>
      <c r="C48" s="63"/>
      <c r="D48" s="63"/>
      <c r="E48" s="63"/>
      <c r="F48" s="64"/>
      <c r="G48" s="63"/>
      <c r="H48" s="63"/>
      <c r="I48" s="63"/>
    </row>
    <row r="49" customFormat="false" ht="18.75" hidden="false" customHeight="true" outlineLevel="0" collapsed="false">
      <c r="B49" s="61"/>
      <c r="C49" s="61"/>
      <c r="D49" s="61"/>
      <c r="E49" s="61"/>
      <c r="F49" s="62"/>
      <c r="G49" s="61"/>
      <c r="H49" s="61"/>
      <c r="I49" s="61"/>
    </row>
    <row r="50" customFormat="false" ht="18.75" hidden="false" customHeight="true" outlineLevel="0" collapsed="false">
      <c r="B50" s="63"/>
      <c r="C50" s="63"/>
      <c r="D50" s="63"/>
      <c r="E50" s="63"/>
      <c r="F50" s="64"/>
      <c r="G50" s="63"/>
      <c r="H50" s="63"/>
      <c r="I50" s="63"/>
    </row>
    <row r="51" customFormat="false" ht="18.75" hidden="false" customHeight="true" outlineLevel="0" collapsed="false">
      <c r="B51" s="61"/>
      <c r="C51" s="61"/>
      <c r="D51" s="61"/>
      <c r="E51" s="61"/>
      <c r="F51" s="62"/>
      <c r="G51" s="61"/>
      <c r="H51" s="61"/>
      <c r="I51" s="61"/>
    </row>
    <row r="52" customFormat="false" ht="18.75" hidden="false" customHeight="true" outlineLevel="0" collapsed="false">
      <c r="B52" s="63"/>
      <c r="C52" s="63"/>
      <c r="D52" s="63"/>
      <c r="E52" s="63"/>
      <c r="F52" s="64"/>
      <c r="G52" s="63"/>
      <c r="H52" s="63"/>
      <c r="I52" s="63"/>
    </row>
    <row r="53" customFormat="false" ht="18.75" hidden="false" customHeight="true" outlineLevel="0" collapsed="false">
      <c r="B53" s="61"/>
      <c r="C53" s="61"/>
      <c r="D53" s="61"/>
      <c r="E53" s="61"/>
      <c r="F53" s="62"/>
      <c r="G53" s="61"/>
      <c r="H53" s="61"/>
      <c r="I53" s="61"/>
    </row>
    <row r="54" customFormat="false" ht="18.75" hidden="false" customHeight="true" outlineLevel="0" collapsed="false">
      <c r="B54" s="63"/>
      <c r="C54" s="63"/>
      <c r="D54" s="63"/>
      <c r="E54" s="63"/>
      <c r="F54" s="64"/>
      <c r="G54" s="63"/>
      <c r="H54" s="63"/>
      <c r="I54" s="63"/>
    </row>
    <row r="55" customFormat="false" ht="18.75" hidden="false" customHeight="true" outlineLevel="0" collapsed="false">
      <c r="B55" s="61"/>
      <c r="C55" s="61"/>
      <c r="D55" s="61"/>
      <c r="E55" s="61"/>
      <c r="F55" s="62"/>
      <c r="G55" s="61"/>
      <c r="H55" s="61"/>
      <c r="I55" s="61"/>
    </row>
    <row r="56" customFormat="false" ht="18.75" hidden="false" customHeight="true" outlineLevel="0" collapsed="false">
      <c r="B56" s="63"/>
      <c r="C56" s="63"/>
      <c r="D56" s="63"/>
      <c r="E56" s="63"/>
      <c r="F56" s="64"/>
      <c r="G56" s="63"/>
      <c r="H56" s="63"/>
      <c r="I56" s="63"/>
    </row>
    <row r="57" customFormat="false" ht="18.75" hidden="false" customHeight="true" outlineLevel="0" collapsed="false">
      <c r="B57" s="61"/>
      <c r="C57" s="61"/>
      <c r="D57" s="61"/>
      <c r="E57" s="61"/>
      <c r="F57" s="62"/>
      <c r="G57" s="61"/>
      <c r="H57" s="61"/>
      <c r="I57" s="61"/>
    </row>
    <row r="58" customFormat="false" ht="18.75" hidden="false" customHeight="true" outlineLevel="0" collapsed="false">
      <c r="B58" s="63"/>
      <c r="C58" s="63"/>
      <c r="D58" s="63"/>
      <c r="E58" s="63"/>
      <c r="F58" s="64"/>
      <c r="G58" s="63"/>
      <c r="H58" s="63"/>
      <c r="I58" s="63"/>
    </row>
    <row r="59" customFormat="false" ht="18.75" hidden="false" customHeight="true" outlineLevel="0" collapsed="false">
      <c r="B59" s="61"/>
      <c r="C59" s="61"/>
      <c r="D59" s="61"/>
      <c r="E59" s="61"/>
      <c r="F59" s="62"/>
      <c r="G59" s="61"/>
      <c r="H59" s="61"/>
      <c r="I59" s="61"/>
    </row>
    <row r="60" customFormat="false" ht="18.75" hidden="false" customHeight="true" outlineLevel="0" collapsed="false">
      <c r="B60" s="63"/>
      <c r="C60" s="63"/>
      <c r="D60" s="63"/>
      <c r="E60" s="63"/>
      <c r="F60" s="64"/>
      <c r="G60" s="63"/>
      <c r="H60" s="63"/>
      <c r="I60" s="63"/>
    </row>
    <row r="61" customFormat="false" ht="18.75" hidden="false" customHeight="true" outlineLevel="0" collapsed="false">
      <c r="B61" s="61"/>
      <c r="C61" s="61"/>
      <c r="D61" s="61"/>
      <c r="E61" s="61"/>
      <c r="F61" s="62"/>
      <c r="G61" s="61"/>
      <c r="H61" s="61"/>
      <c r="I61" s="61"/>
    </row>
    <row r="62" customFormat="false" ht="18.75" hidden="false" customHeight="true" outlineLevel="0" collapsed="false">
      <c r="B62" s="63"/>
      <c r="C62" s="63"/>
      <c r="D62" s="63"/>
      <c r="E62" s="63"/>
      <c r="F62" s="64"/>
      <c r="G62" s="63"/>
      <c r="H62" s="63"/>
      <c r="I62" s="63"/>
    </row>
    <row r="63" customFormat="false" ht="18.75" hidden="false" customHeight="true" outlineLevel="0" collapsed="false">
      <c r="B63" s="61"/>
      <c r="C63" s="61"/>
      <c r="D63" s="61"/>
      <c r="E63" s="61"/>
      <c r="F63" s="62"/>
      <c r="G63" s="61"/>
      <c r="H63" s="61"/>
      <c r="I63" s="61"/>
    </row>
    <row r="64" customFormat="false" ht="18.75" hidden="false" customHeight="true" outlineLevel="0" collapsed="false">
      <c r="B64" s="63"/>
      <c r="C64" s="63"/>
      <c r="D64" s="63"/>
      <c r="E64" s="63"/>
      <c r="F64" s="64"/>
      <c r="G64" s="63"/>
      <c r="H64" s="63"/>
      <c r="I64" s="63"/>
    </row>
    <row r="65" customFormat="false" ht="18.75" hidden="false" customHeight="true" outlineLevel="0" collapsed="false">
      <c r="B65" s="61"/>
      <c r="C65" s="61"/>
      <c r="D65" s="61"/>
      <c r="E65" s="61"/>
      <c r="F65" s="62"/>
      <c r="G65" s="61"/>
      <c r="H65" s="61"/>
      <c r="I65" s="61"/>
    </row>
    <row r="66" customFormat="false" ht="18.75" hidden="false" customHeight="true" outlineLevel="0" collapsed="false">
      <c r="B66" s="63"/>
      <c r="C66" s="63"/>
      <c r="D66" s="63"/>
      <c r="E66" s="63"/>
      <c r="F66" s="64"/>
      <c r="G66" s="63"/>
      <c r="H66" s="63"/>
      <c r="I66" s="63"/>
    </row>
    <row r="67" customFormat="false" ht="18.75" hidden="false" customHeight="true" outlineLevel="0" collapsed="false">
      <c r="B67" s="61"/>
      <c r="C67" s="61"/>
      <c r="D67" s="61"/>
      <c r="E67" s="61"/>
      <c r="F67" s="62"/>
      <c r="G67" s="61"/>
      <c r="H67" s="61"/>
      <c r="I67" s="61"/>
    </row>
    <row r="68" customFormat="false" ht="18.75" hidden="false" customHeight="true" outlineLevel="0" collapsed="false">
      <c r="B68" s="63"/>
      <c r="C68" s="63"/>
      <c r="D68" s="63"/>
      <c r="E68" s="63"/>
      <c r="F68" s="64"/>
      <c r="G68" s="63"/>
      <c r="H68" s="63"/>
      <c r="I68" s="63"/>
    </row>
    <row r="69" customFormat="false" ht="18.75" hidden="false" customHeight="true" outlineLevel="0" collapsed="false">
      <c r="B69" s="61"/>
      <c r="C69" s="61"/>
      <c r="D69" s="61"/>
      <c r="E69" s="61"/>
      <c r="F69" s="62"/>
      <c r="G69" s="61"/>
      <c r="H69" s="61"/>
      <c r="I69" s="61"/>
    </row>
    <row r="70" customFormat="false" ht="18.75" hidden="false" customHeight="true" outlineLevel="0" collapsed="false">
      <c r="B70" s="63"/>
      <c r="C70" s="63"/>
      <c r="D70" s="63"/>
      <c r="E70" s="63"/>
      <c r="F70" s="64"/>
      <c r="G70" s="63"/>
      <c r="H70" s="63"/>
      <c r="I70" s="63"/>
    </row>
    <row r="71" customFormat="false" ht="18.75" hidden="false" customHeight="true" outlineLevel="0" collapsed="false">
      <c r="B71" s="61"/>
      <c r="C71" s="61"/>
      <c r="D71" s="61"/>
      <c r="E71" s="61"/>
      <c r="F71" s="62"/>
      <c r="G71" s="61"/>
      <c r="H71" s="61"/>
      <c r="I71" s="61"/>
    </row>
    <row r="72" customFormat="false" ht="18.75" hidden="false" customHeight="true" outlineLevel="0" collapsed="false">
      <c r="B72" s="63"/>
      <c r="C72" s="63"/>
      <c r="D72" s="63"/>
      <c r="E72" s="63"/>
      <c r="F72" s="64"/>
      <c r="G72" s="63"/>
      <c r="H72" s="63"/>
      <c r="I72" s="63"/>
    </row>
    <row r="73" customFormat="false" ht="18.75" hidden="false" customHeight="true" outlineLevel="0" collapsed="false">
      <c r="B73" s="61"/>
      <c r="C73" s="61"/>
      <c r="D73" s="61"/>
      <c r="E73" s="61"/>
      <c r="F73" s="62"/>
      <c r="G73" s="61"/>
      <c r="H73" s="61"/>
      <c r="I73" s="61"/>
    </row>
    <row r="74" customFormat="false" ht="18.75" hidden="false" customHeight="true" outlineLevel="0" collapsed="false">
      <c r="B74" s="63"/>
      <c r="C74" s="63"/>
      <c r="D74" s="63"/>
      <c r="E74" s="63"/>
      <c r="F74" s="64"/>
      <c r="G74" s="63"/>
      <c r="H74" s="63"/>
      <c r="I74" s="63"/>
    </row>
    <row r="75" customFormat="false" ht="18.75" hidden="false" customHeight="true" outlineLevel="0" collapsed="false">
      <c r="B75" s="61"/>
      <c r="C75" s="61"/>
      <c r="D75" s="61"/>
      <c r="E75" s="61"/>
      <c r="F75" s="62"/>
      <c r="G75" s="61"/>
      <c r="H75" s="61"/>
      <c r="I75" s="61"/>
    </row>
    <row r="76" customFormat="false" ht="18.75" hidden="false" customHeight="true" outlineLevel="0" collapsed="false">
      <c r="B76" s="63"/>
      <c r="C76" s="63"/>
      <c r="D76" s="63"/>
      <c r="E76" s="63"/>
      <c r="F76" s="64"/>
      <c r="G76" s="63"/>
      <c r="H76" s="63"/>
      <c r="I76" s="63"/>
    </row>
    <row r="77" customFormat="false" ht="18.75" hidden="false" customHeight="true" outlineLevel="0" collapsed="false">
      <c r="B77" s="61"/>
      <c r="C77" s="61"/>
      <c r="D77" s="61"/>
      <c r="E77" s="61"/>
      <c r="F77" s="62"/>
      <c r="G77" s="61"/>
      <c r="H77" s="61"/>
      <c r="I77" s="61"/>
    </row>
    <row r="78" customFormat="false" ht="18.75" hidden="false" customHeight="true" outlineLevel="0" collapsed="false">
      <c r="B78" s="63"/>
      <c r="C78" s="63"/>
      <c r="D78" s="63"/>
      <c r="E78" s="63"/>
      <c r="F78" s="64"/>
      <c r="G78" s="63"/>
      <c r="H78" s="63"/>
      <c r="I78" s="63"/>
    </row>
    <row r="79" customFormat="false" ht="18.75" hidden="false" customHeight="true" outlineLevel="0" collapsed="false">
      <c r="B79" s="61"/>
      <c r="C79" s="61"/>
      <c r="D79" s="61"/>
      <c r="E79" s="61"/>
      <c r="F79" s="62"/>
      <c r="G79" s="61"/>
      <c r="H79" s="61"/>
      <c r="I79" s="61"/>
    </row>
    <row r="80" customFormat="false" ht="18.75" hidden="false" customHeight="true" outlineLevel="0" collapsed="false">
      <c r="B80" s="63"/>
      <c r="C80" s="63"/>
      <c r="D80" s="63"/>
      <c r="E80" s="63"/>
      <c r="F80" s="64"/>
      <c r="G80" s="63"/>
      <c r="H80" s="63"/>
      <c r="I80" s="63"/>
    </row>
    <row r="81" customFormat="false" ht="18.75" hidden="false" customHeight="true" outlineLevel="0" collapsed="false">
      <c r="B81" s="61"/>
      <c r="C81" s="61"/>
      <c r="D81" s="61"/>
      <c r="E81" s="61"/>
      <c r="F81" s="62"/>
      <c r="G81" s="61"/>
      <c r="H81" s="61"/>
      <c r="I81" s="61"/>
    </row>
    <row r="82" customFormat="false" ht="18.75" hidden="false" customHeight="true" outlineLevel="0" collapsed="false">
      <c r="B82" s="63"/>
      <c r="C82" s="63"/>
      <c r="D82" s="63"/>
      <c r="E82" s="63"/>
      <c r="F82" s="64"/>
      <c r="G82" s="63"/>
      <c r="H82" s="63"/>
      <c r="I82" s="63"/>
    </row>
    <row r="83" customFormat="false" ht="18.75" hidden="false" customHeight="true" outlineLevel="0" collapsed="false">
      <c r="B83" s="61"/>
      <c r="C83" s="61"/>
      <c r="D83" s="61"/>
      <c r="E83" s="61"/>
      <c r="F83" s="62"/>
      <c r="G83" s="61"/>
      <c r="H83" s="61"/>
      <c r="I83" s="61"/>
    </row>
    <row r="84" customFormat="false" ht="18.75" hidden="false" customHeight="true" outlineLevel="0" collapsed="false">
      <c r="B84" s="63"/>
      <c r="C84" s="63"/>
      <c r="D84" s="63"/>
      <c r="E84" s="63"/>
      <c r="F84" s="64"/>
      <c r="G84" s="63"/>
      <c r="H84" s="63"/>
      <c r="I84" s="63"/>
    </row>
    <row r="85" customFormat="false" ht="18.75" hidden="false" customHeight="true" outlineLevel="0" collapsed="false">
      <c r="B85" s="61"/>
      <c r="C85" s="61"/>
      <c r="D85" s="61"/>
      <c r="E85" s="61"/>
      <c r="F85" s="62"/>
      <c r="G85" s="61"/>
      <c r="H85" s="61"/>
      <c r="I85" s="61"/>
    </row>
    <row r="86" customFormat="false" ht="18.75" hidden="false" customHeight="true" outlineLevel="0" collapsed="false">
      <c r="B86" s="63"/>
      <c r="C86" s="63"/>
      <c r="D86" s="63"/>
      <c r="E86" s="63"/>
      <c r="F86" s="64"/>
      <c r="G86" s="63"/>
      <c r="H86" s="63"/>
      <c r="I86" s="63"/>
    </row>
    <row r="87" customFormat="false" ht="18.75" hidden="false" customHeight="true" outlineLevel="0" collapsed="false">
      <c r="B87" s="61"/>
      <c r="C87" s="61"/>
      <c r="D87" s="61"/>
      <c r="E87" s="61"/>
      <c r="F87" s="62"/>
      <c r="G87" s="61"/>
      <c r="H87" s="61"/>
      <c r="I87" s="61"/>
    </row>
    <row r="88" customFormat="false" ht="18.75" hidden="false" customHeight="true" outlineLevel="0" collapsed="false">
      <c r="B88" s="63"/>
      <c r="C88" s="63"/>
      <c r="D88" s="63"/>
      <c r="E88" s="63"/>
      <c r="F88" s="64"/>
      <c r="G88" s="63"/>
      <c r="H88" s="63"/>
      <c r="I88" s="63"/>
    </row>
    <row r="89" customFormat="false" ht="18.75" hidden="false" customHeight="true" outlineLevel="0" collapsed="false">
      <c r="B89" s="61"/>
      <c r="C89" s="61"/>
      <c r="D89" s="61"/>
      <c r="E89" s="61"/>
      <c r="F89" s="62"/>
      <c r="G89" s="61"/>
      <c r="H89" s="61"/>
      <c r="I89" s="61"/>
    </row>
    <row r="90" customFormat="false" ht="18.75" hidden="false" customHeight="true" outlineLevel="0" collapsed="false">
      <c r="B90" s="63"/>
      <c r="C90" s="63"/>
      <c r="D90" s="63"/>
      <c r="E90" s="63"/>
      <c r="F90" s="64"/>
      <c r="G90" s="63"/>
      <c r="H90" s="63"/>
      <c r="I90" s="63"/>
    </row>
    <row r="91" customFormat="false" ht="18.75" hidden="false" customHeight="true" outlineLevel="0" collapsed="false">
      <c r="B91" s="61"/>
      <c r="C91" s="61"/>
      <c r="D91" s="61"/>
      <c r="E91" s="61"/>
      <c r="F91" s="62"/>
      <c r="G91" s="61"/>
      <c r="H91" s="61"/>
      <c r="I91" s="61"/>
    </row>
    <row r="92" customFormat="false" ht="18.75" hidden="false" customHeight="true" outlineLevel="0" collapsed="false">
      <c r="B92" s="63"/>
      <c r="C92" s="63"/>
      <c r="D92" s="63"/>
      <c r="E92" s="63"/>
      <c r="F92" s="64"/>
      <c r="G92" s="63"/>
      <c r="H92" s="63"/>
      <c r="I92" s="63"/>
    </row>
    <row r="93" customFormat="false" ht="18.75" hidden="false" customHeight="true" outlineLevel="0" collapsed="false">
      <c r="B93" s="61"/>
      <c r="C93" s="61"/>
      <c r="D93" s="61"/>
      <c r="E93" s="61"/>
      <c r="F93" s="62"/>
      <c r="G93" s="61"/>
      <c r="H93" s="61"/>
      <c r="I93" s="61"/>
    </row>
    <row r="94" customFormat="false" ht="18.75" hidden="false" customHeight="true" outlineLevel="0" collapsed="false">
      <c r="B94" s="63"/>
      <c r="C94" s="63"/>
      <c r="D94" s="63"/>
      <c r="E94" s="63"/>
      <c r="F94" s="64"/>
      <c r="G94" s="63"/>
      <c r="H94" s="63"/>
      <c r="I94" s="63"/>
    </row>
    <row r="95" customFormat="false" ht="18.75" hidden="false" customHeight="true" outlineLevel="0" collapsed="false">
      <c r="B95" s="61"/>
      <c r="C95" s="61"/>
      <c r="D95" s="61"/>
      <c r="E95" s="61"/>
      <c r="F95" s="62"/>
      <c r="G95" s="61"/>
      <c r="H95" s="61"/>
      <c r="I95" s="61"/>
    </row>
    <row r="96" customFormat="false" ht="18.75" hidden="false" customHeight="true" outlineLevel="0" collapsed="false">
      <c r="B96" s="63"/>
      <c r="C96" s="63"/>
      <c r="D96" s="63"/>
      <c r="E96" s="63"/>
      <c r="F96" s="64"/>
      <c r="G96" s="63"/>
      <c r="H96" s="63"/>
      <c r="I96" s="63"/>
    </row>
    <row r="97" customFormat="false" ht="18.75" hidden="false" customHeight="true" outlineLevel="0" collapsed="false">
      <c r="B97" s="61"/>
      <c r="C97" s="61"/>
      <c r="D97" s="61"/>
      <c r="E97" s="61"/>
      <c r="F97" s="62"/>
      <c r="G97" s="61"/>
      <c r="H97" s="61"/>
      <c r="I97" s="61"/>
    </row>
    <row r="98" customFormat="false" ht="18.75" hidden="false" customHeight="true" outlineLevel="0" collapsed="false">
      <c r="B98" s="63"/>
      <c r="C98" s="63"/>
      <c r="D98" s="63"/>
      <c r="E98" s="63"/>
      <c r="F98" s="64"/>
      <c r="G98" s="63"/>
      <c r="H98" s="63"/>
      <c r="I98" s="63"/>
    </row>
    <row r="99" customFormat="false" ht="18.75" hidden="false" customHeight="true" outlineLevel="0" collapsed="false">
      <c r="B99" s="61"/>
      <c r="C99" s="61"/>
      <c r="D99" s="61"/>
      <c r="E99" s="61"/>
      <c r="F99" s="62"/>
      <c r="G99" s="61"/>
      <c r="H99" s="61"/>
      <c r="I99" s="61"/>
    </row>
    <row r="100" customFormat="false" ht="18.75" hidden="false" customHeight="true" outlineLevel="0" collapsed="false">
      <c r="B100" s="63"/>
      <c r="C100" s="63"/>
      <c r="D100" s="63"/>
      <c r="E100" s="63"/>
      <c r="F100" s="64"/>
      <c r="G100" s="63"/>
      <c r="H100" s="63"/>
      <c r="I100" s="63"/>
    </row>
    <row r="101" customFormat="false" ht="18.75" hidden="false" customHeight="true" outlineLevel="0" collapsed="false">
      <c r="B101" s="61"/>
      <c r="C101" s="61"/>
      <c r="D101" s="61"/>
      <c r="E101" s="61"/>
      <c r="F101" s="62"/>
      <c r="G101" s="61"/>
      <c r="H101" s="61"/>
      <c r="I101" s="61"/>
    </row>
    <row r="102" customFormat="false" ht="18.75" hidden="false" customHeight="true" outlineLevel="0" collapsed="false">
      <c r="B102" s="63"/>
      <c r="C102" s="63"/>
      <c r="D102" s="63"/>
      <c r="E102" s="63"/>
      <c r="F102" s="64"/>
      <c r="G102" s="63"/>
      <c r="H102" s="63"/>
      <c r="I102" s="63"/>
    </row>
    <row r="103" customFormat="false" ht="18.75" hidden="false" customHeight="true" outlineLevel="0" collapsed="false">
      <c r="B103" s="61"/>
      <c r="C103" s="61"/>
      <c r="D103" s="61"/>
      <c r="E103" s="61"/>
      <c r="F103" s="62"/>
      <c r="G103" s="61"/>
      <c r="H103" s="61"/>
      <c r="I103" s="61"/>
    </row>
    <row r="104" customFormat="false" ht="18.75" hidden="false" customHeight="true" outlineLevel="0" collapsed="false">
      <c r="B104" s="63"/>
      <c r="C104" s="63"/>
      <c r="D104" s="63"/>
      <c r="E104" s="63"/>
      <c r="F104" s="64"/>
      <c r="G104" s="63"/>
      <c r="H104" s="63"/>
      <c r="I104" s="63"/>
    </row>
    <row r="105" customFormat="false" ht="18.75" hidden="false" customHeight="true" outlineLevel="0" collapsed="false">
      <c r="B105" s="61"/>
      <c r="C105" s="61"/>
      <c r="D105" s="61"/>
      <c r="E105" s="61"/>
      <c r="F105" s="62"/>
      <c r="G105" s="61"/>
      <c r="H105" s="61"/>
      <c r="I105" s="61"/>
    </row>
    <row r="106" customFormat="false" ht="18.75" hidden="false" customHeight="true" outlineLevel="0" collapsed="false">
      <c r="B106" s="63"/>
      <c r="C106" s="63"/>
      <c r="D106" s="63"/>
      <c r="E106" s="63"/>
      <c r="F106" s="64"/>
      <c r="G106" s="63"/>
      <c r="H106" s="63"/>
      <c r="I106" s="63"/>
    </row>
    <row r="107" customFormat="false" ht="18.75" hidden="false" customHeight="true" outlineLevel="0" collapsed="false">
      <c r="B107" s="61"/>
      <c r="C107" s="61"/>
      <c r="D107" s="61"/>
      <c r="E107" s="61"/>
      <c r="F107" s="62"/>
      <c r="G107" s="61"/>
      <c r="H107" s="61"/>
      <c r="I107" s="61"/>
    </row>
    <row r="108" customFormat="false" ht="18.75" hidden="false" customHeight="true" outlineLevel="0" collapsed="false">
      <c r="B108" s="65" t="s">
        <v>96</v>
      </c>
      <c r="C108" s="65"/>
      <c r="D108" s="65"/>
      <c r="E108" s="65"/>
      <c r="F108" s="66" t="n">
        <f aca="false">SUM(E8:E107)</f>
        <v>0</v>
      </c>
    </row>
    <row r="109" customFormat="false" ht="18.75" hidden="false" customHeight="true" outlineLevel="0" collapsed="false"/>
    <row r="110" customFormat="false" ht="18.75" hidden="false" customHeight="true" outlineLevel="0" collapsed="false">
      <c r="B110" s="67" t="s">
        <v>97</v>
      </c>
      <c r="C110" s="67"/>
      <c r="D110" s="67"/>
      <c r="E110" s="67"/>
      <c r="F110" s="67"/>
      <c r="G110" s="67"/>
      <c r="H110" s="67"/>
    </row>
    <row r="111" customFormat="false" ht="18.75" hidden="false" customHeight="true" outlineLevel="0" collapsed="false"/>
    <row r="112" customFormat="false" ht="18.75" hidden="false" customHeight="true" outlineLevel="0" collapsed="false"/>
    <row r="113" customFormat="false" ht="18.75" hidden="false" customHeight="true" outlineLevel="0" collapsed="false"/>
    <row r="114" customFormat="false" ht="18.75" hidden="false" customHeight="true" outlineLevel="0" collapsed="false"/>
    <row r="115" customFormat="false" ht="18.75" hidden="false" customHeight="true" outlineLevel="0" collapsed="false"/>
    <row r="116" customFormat="false" ht="18.75" hidden="false" customHeight="true" outlineLevel="0" collapsed="false"/>
    <row r="117" customFormat="false" ht="18.75" hidden="false" customHeight="true" outlineLevel="0" collapsed="false"/>
    <row r="118" customFormat="false" ht="18.75" hidden="false" customHeight="true" outlineLevel="0" collapsed="false"/>
    <row r="119" customFormat="false" ht="18.75" hidden="false" customHeight="true" outlineLevel="0" collapsed="false"/>
  </sheetData>
  <mergeCells count="9">
    <mergeCell ref="B1:H2"/>
    <mergeCell ref="B4:C4"/>
    <mergeCell ref="D4:E4"/>
    <mergeCell ref="F4:G4"/>
    <mergeCell ref="B5:C5"/>
    <mergeCell ref="D5:E5"/>
    <mergeCell ref="F5:G5"/>
    <mergeCell ref="B108:E108"/>
    <mergeCell ref="B110:H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4"/>
  </cols>
  <sheetData>
    <row r="1" customFormat="false" ht="18.75" hidden="false" customHeight="true" outlineLevel="0" collapsed="false">
      <c r="B1" s="48" t="s">
        <v>125</v>
      </c>
      <c r="C1" s="48"/>
      <c r="D1" s="48"/>
      <c r="E1" s="48"/>
      <c r="F1" s="48"/>
      <c r="G1" s="48"/>
      <c r="H1" s="48"/>
    </row>
    <row r="2" customFormat="false" ht="18.75" hidden="false" customHeight="true" outlineLevel="0" collapsed="false">
      <c r="B2" s="48"/>
      <c r="C2" s="48"/>
      <c r="D2" s="48"/>
      <c r="E2" s="48"/>
      <c r="F2" s="48"/>
      <c r="G2" s="48"/>
      <c r="H2" s="48"/>
    </row>
    <row r="3" customFormat="false" ht="18.75" hidden="false" customHeight="true" outlineLevel="0" collapsed="false"/>
    <row r="4" customFormat="false" ht="18.75" hidden="false" customHeight="true" outlineLevel="0" collapsed="false">
      <c r="B4" s="49" t="s">
        <v>51</v>
      </c>
      <c r="C4" s="49"/>
      <c r="D4" s="50" t="s">
        <v>52</v>
      </c>
      <c r="E4" s="50"/>
      <c r="F4" s="51" t="s">
        <v>53</v>
      </c>
      <c r="G4" s="51"/>
    </row>
    <row r="5" customFormat="false" ht="18.75" hidden="false" customHeight="true" outlineLevel="0" collapsed="false">
      <c r="B5" s="52" t="n">
        <f aca="false">SUMIF(C8:C107,"Receita",E8:E107)</f>
        <v>0</v>
      </c>
      <c r="C5" s="52"/>
      <c r="D5" s="53" t="n">
        <f aca="false">SUMIF(C8:C107,"Despesa",E8:E107)</f>
        <v>0</v>
      </c>
      <c r="E5" s="53"/>
      <c r="F5" s="54" t="n">
        <f aca="false">B5-D5</f>
        <v>0</v>
      </c>
      <c r="G5" s="54"/>
    </row>
    <row r="6" customFormat="false" ht="18.75" hidden="false" customHeight="true" outlineLevel="0" collapsed="false"/>
    <row r="7" customFormat="false" ht="18.75" hidden="false" customHeight="true" outlineLevel="0" collapsed="false">
      <c r="B7" s="24" t="s">
        <v>54</v>
      </c>
      <c r="C7" s="24" t="s">
        <v>55</v>
      </c>
      <c r="D7" s="24" t="s">
        <v>20</v>
      </c>
      <c r="E7" s="24" t="s">
        <v>19</v>
      </c>
      <c r="F7" s="24" t="s">
        <v>56</v>
      </c>
      <c r="G7" s="24" t="s">
        <v>25</v>
      </c>
      <c r="H7" s="24" t="s">
        <v>57</v>
      </c>
      <c r="I7" s="24" t="s">
        <v>58</v>
      </c>
    </row>
    <row r="8" customFormat="false" ht="18.75" hidden="false" customHeight="true" outlineLevel="0" collapsed="false">
      <c r="B8" s="55" t="s">
        <v>126</v>
      </c>
      <c r="C8" s="56" t="s">
        <v>60</v>
      </c>
      <c r="D8" s="55" t="s">
        <v>61</v>
      </c>
      <c r="E8" s="55" t="s">
        <v>62</v>
      </c>
      <c r="F8" s="57" t="n">
        <v>3500</v>
      </c>
      <c r="G8" s="55" t="s">
        <v>63</v>
      </c>
      <c r="H8" s="55" t="s">
        <v>64</v>
      </c>
      <c r="I8" s="55" t="s">
        <v>65</v>
      </c>
    </row>
    <row r="9" customFormat="false" ht="18.75" hidden="false" customHeight="true" outlineLevel="0" collapsed="false">
      <c r="B9" s="58" t="s">
        <v>126</v>
      </c>
      <c r="C9" s="59" t="s">
        <v>66</v>
      </c>
      <c r="D9" s="58" t="s">
        <v>61</v>
      </c>
      <c r="E9" s="58" t="s">
        <v>62</v>
      </c>
      <c r="F9" s="60" t="n">
        <v>500</v>
      </c>
      <c r="G9" s="58" t="s">
        <v>63</v>
      </c>
      <c r="H9" s="58" t="s">
        <v>67</v>
      </c>
      <c r="I9" s="58" t="s">
        <v>68</v>
      </c>
    </row>
    <row r="10" customFormat="false" ht="18.75" hidden="false" customHeight="true" outlineLevel="0" collapsed="false">
      <c r="B10" s="55" t="s">
        <v>127</v>
      </c>
      <c r="C10" s="56" t="s">
        <v>70</v>
      </c>
      <c r="D10" s="55" t="s">
        <v>71</v>
      </c>
      <c r="E10" s="55" t="s">
        <v>26</v>
      </c>
      <c r="F10" s="57" t="n">
        <v>1200</v>
      </c>
      <c r="G10" s="55" t="s">
        <v>72</v>
      </c>
      <c r="H10" s="55" t="s">
        <v>73</v>
      </c>
      <c r="I10" s="55" t="s">
        <v>74</v>
      </c>
    </row>
    <row r="11" customFormat="false" ht="18.75" hidden="false" customHeight="true" outlineLevel="0" collapsed="false">
      <c r="B11" s="58" t="s">
        <v>128</v>
      </c>
      <c r="C11" s="59" t="s">
        <v>76</v>
      </c>
      <c r="D11" s="58" t="s">
        <v>71</v>
      </c>
      <c r="E11" s="58" t="s">
        <v>30</v>
      </c>
      <c r="F11" s="60" t="n">
        <v>450</v>
      </c>
      <c r="G11" s="58" t="s">
        <v>72</v>
      </c>
      <c r="H11" s="58" t="s">
        <v>77</v>
      </c>
      <c r="I11" s="58" t="s">
        <v>78</v>
      </c>
    </row>
    <row r="12" customFormat="false" ht="18.75" hidden="false" customHeight="true" outlineLevel="0" collapsed="false">
      <c r="B12" s="55" t="s">
        <v>129</v>
      </c>
      <c r="C12" s="56" t="s">
        <v>80</v>
      </c>
      <c r="D12" s="55" t="s">
        <v>71</v>
      </c>
      <c r="E12" s="55" t="s">
        <v>28</v>
      </c>
      <c r="F12" s="57" t="n">
        <v>150</v>
      </c>
      <c r="G12" s="55" t="s">
        <v>72</v>
      </c>
      <c r="H12" s="55" t="s">
        <v>81</v>
      </c>
      <c r="I12" s="55"/>
    </row>
    <row r="13" customFormat="false" ht="18.75" hidden="false" customHeight="true" outlineLevel="0" collapsed="false">
      <c r="B13" s="58" t="s">
        <v>130</v>
      </c>
      <c r="C13" s="59" t="s">
        <v>83</v>
      </c>
      <c r="D13" s="58" t="s">
        <v>71</v>
      </c>
      <c r="E13" s="58" t="s">
        <v>29</v>
      </c>
      <c r="F13" s="60" t="n">
        <v>200</v>
      </c>
      <c r="G13" s="58" t="s">
        <v>72</v>
      </c>
      <c r="H13" s="58" t="s">
        <v>84</v>
      </c>
      <c r="I13" s="58"/>
    </row>
    <row r="14" customFormat="false" ht="18.75" hidden="false" customHeight="true" outlineLevel="0" collapsed="false">
      <c r="B14" s="55" t="s">
        <v>131</v>
      </c>
      <c r="C14" s="56" t="s">
        <v>86</v>
      </c>
      <c r="D14" s="55" t="s">
        <v>71</v>
      </c>
      <c r="E14" s="55" t="s">
        <v>38</v>
      </c>
      <c r="F14" s="57" t="n">
        <v>500</v>
      </c>
      <c r="G14" s="55" t="s">
        <v>72</v>
      </c>
      <c r="H14" s="55" t="s">
        <v>87</v>
      </c>
      <c r="I14" s="55" t="s">
        <v>88</v>
      </c>
    </row>
    <row r="15" customFormat="false" ht="18.75" hidden="false" customHeight="true" outlineLevel="0" collapsed="false">
      <c r="B15" s="58" t="s">
        <v>132</v>
      </c>
      <c r="C15" s="59" t="s">
        <v>90</v>
      </c>
      <c r="D15" s="58" t="s">
        <v>71</v>
      </c>
      <c r="E15" s="58" t="s">
        <v>32</v>
      </c>
      <c r="F15" s="60" t="n">
        <v>100</v>
      </c>
      <c r="G15" s="58" t="s">
        <v>91</v>
      </c>
      <c r="H15" s="58" t="s">
        <v>92</v>
      </c>
      <c r="I15" s="58"/>
    </row>
    <row r="16" customFormat="false" ht="18.75" hidden="false" customHeight="true" outlineLevel="0" collapsed="false">
      <c r="B16" s="55" t="s">
        <v>133</v>
      </c>
      <c r="C16" s="56" t="s">
        <v>94</v>
      </c>
      <c r="D16" s="55" t="s">
        <v>71</v>
      </c>
      <c r="E16" s="55" t="s">
        <v>36</v>
      </c>
      <c r="F16" s="57" t="n">
        <v>60</v>
      </c>
      <c r="G16" s="55" t="s">
        <v>91</v>
      </c>
      <c r="H16" s="55" t="s">
        <v>95</v>
      </c>
      <c r="I16" s="55"/>
    </row>
    <row r="17" customFormat="false" ht="18.75" hidden="false" customHeight="true" outlineLevel="0" collapsed="false">
      <c r="B17" s="61"/>
      <c r="C17" s="61"/>
      <c r="D17" s="61"/>
      <c r="E17" s="61"/>
      <c r="F17" s="62"/>
      <c r="G17" s="61"/>
      <c r="H17" s="61"/>
      <c r="I17" s="61"/>
    </row>
    <row r="18" customFormat="false" ht="18.75" hidden="false" customHeight="true" outlineLevel="0" collapsed="false">
      <c r="B18" s="63"/>
      <c r="C18" s="63"/>
      <c r="D18" s="63"/>
      <c r="E18" s="63"/>
      <c r="F18" s="64"/>
      <c r="G18" s="63"/>
      <c r="H18" s="63"/>
      <c r="I18" s="63"/>
    </row>
    <row r="19" customFormat="false" ht="18.75" hidden="false" customHeight="true" outlineLevel="0" collapsed="false">
      <c r="B19" s="61"/>
      <c r="C19" s="61"/>
      <c r="D19" s="61"/>
      <c r="E19" s="61"/>
      <c r="F19" s="62"/>
      <c r="G19" s="61"/>
      <c r="H19" s="61"/>
      <c r="I19" s="61"/>
    </row>
    <row r="20" customFormat="false" ht="18.75" hidden="false" customHeight="true" outlineLevel="0" collapsed="false">
      <c r="B20" s="63"/>
      <c r="C20" s="63"/>
      <c r="D20" s="63"/>
      <c r="E20" s="63"/>
      <c r="F20" s="64"/>
      <c r="G20" s="63"/>
      <c r="H20" s="63"/>
      <c r="I20" s="63"/>
    </row>
    <row r="21" customFormat="false" ht="18.75" hidden="false" customHeight="true" outlineLevel="0" collapsed="false">
      <c r="B21" s="61"/>
      <c r="C21" s="61"/>
      <c r="D21" s="61"/>
      <c r="E21" s="61"/>
      <c r="F21" s="62"/>
      <c r="G21" s="61"/>
      <c r="H21" s="61"/>
      <c r="I21" s="61"/>
    </row>
    <row r="22" customFormat="false" ht="18.75" hidden="false" customHeight="true" outlineLevel="0" collapsed="false">
      <c r="B22" s="63"/>
      <c r="C22" s="63"/>
      <c r="D22" s="63"/>
      <c r="E22" s="63"/>
      <c r="F22" s="64"/>
      <c r="G22" s="63"/>
      <c r="H22" s="63"/>
      <c r="I22" s="63"/>
    </row>
    <row r="23" customFormat="false" ht="18.75" hidden="false" customHeight="true" outlineLevel="0" collapsed="false">
      <c r="B23" s="61"/>
      <c r="C23" s="61"/>
      <c r="D23" s="61"/>
      <c r="E23" s="61"/>
      <c r="F23" s="62"/>
      <c r="G23" s="61"/>
      <c r="H23" s="61"/>
      <c r="I23" s="61"/>
    </row>
    <row r="24" customFormat="false" ht="18.75" hidden="false" customHeight="true" outlineLevel="0" collapsed="false">
      <c r="B24" s="63"/>
      <c r="C24" s="63"/>
      <c r="D24" s="63"/>
      <c r="E24" s="63"/>
      <c r="F24" s="64"/>
      <c r="G24" s="63"/>
      <c r="H24" s="63"/>
      <c r="I24" s="63"/>
    </row>
    <row r="25" customFormat="false" ht="18.75" hidden="false" customHeight="true" outlineLevel="0" collapsed="false">
      <c r="B25" s="61"/>
      <c r="C25" s="61"/>
      <c r="D25" s="61"/>
      <c r="E25" s="61"/>
      <c r="F25" s="62"/>
      <c r="G25" s="61"/>
      <c r="H25" s="61"/>
      <c r="I25" s="61"/>
    </row>
    <row r="26" customFormat="false" ht="18.75" hidden="false" customHeight="true" outlineLevel="0" collapsed="false">
      <c r="B26" s="63"/>
      <c r="C26" s="63"/>
      <c r="D26" s="63"/>
      <c r="E26" s="63"/>
      <c r="F26" s="64"/>
      <c r="G26" s="63"/>
      <c r="H26" s="63"/>
      <c r="I26" s="63"/>
    </row>
    <row r="27" customFormat="false" ht="18.75" hidden="false" customHeight="true" outlineLevel="0" collapsed="false">
      <c r="B27" s="61"/>
      <c r="C27" s="61"/>
      <c r="D27" s="61"/>
      <c r="E27" s="61"/>
      <c r="F27" s="62"/>
      <c r="G27" s="61"/>
      <c r="H27" s="61"/>
      <c r="I27" s="61"/>
    </row>
    <row r="28" customFormat="false" ht="18.75" hidden="false" customHeight="true" outlineLevel="0" collapsed="false">
      <c r="B28" s="63"/>
      <c r="C28" s="63"/>
      <c r="D28" s="63"/>
      <c r="E28" s="63"/>
      <c r="F28" s="64"/>
      <c r="G28" s="63"/>
      <c r="H28" s="63"/>
      <c r="I28" s="63"/>
    </row>
    <row r="29" customFormat="false" ht="18.75" hidden="false" customHeight="true" outlineLevel="0" collapsed="false">
      <c r="B29" s="61"/>
      <c r="C29" s="61"/>
      <c r="D29" s="61"/>
      <c r="E29" s="61"/>
      <c r="F29" s="62"/>
      <c r="G29" s="61"/>
      <c r="H29" s="61"/>
      <c r="I29" s="61"/>
    </row>
    <row r="30" customFormat="false" ht="18.75" hidden="false" customHeight="true" outlineLevel="0" collapsed="false">
      <c r="B30" s="63"/>
      <c r="C30" s="63"/>
      <c r="D30" s="63"/>
      <c r="E30" s="63"/>
      <c r="F30" s="64"/>
      <c r="G30" s="63"/>
      <c r="H30" s="63"/>
      <c r="I30" s="63"/>
    </row>
    <row r="31" customFormat="false" ht="18.75" hidden="false" customHeight="true" outlineLevel="0" collapsed="false">
      <c r="B31" s="61"/>
      <c r="C31" s="61"/>
      <c r="D31" s="61"/>
      <c r="E31" s="61"/>
      <c r="F31" s="62"/>
      <c r="G31" s="61"/>
      <c r="H31" s="61"/>
      <c r="I31" s="61"/>
    </row>
    <row r="32" customFormat="false" ht="18.75" hidden="false" customHeight="true" outlineLevel="0" collapsed="false">
      <c r="B32" s="63"/>
      <c r="C32" s="63"/>
      <c r="D32" s="63"/>
      <c r="E32" s="63"/>
      <c r="F32" s="64"/>
      <c r="G32" s="63"/>
      <c r="H32" s="63"/>
      <c r="I32" s="63"/>
    </row>
    <row r="33" customFormat="false" ht="18.75" hidden="false" customHeight="true" outlineLevel="0" collapsed="false">
      <c r="B33" s="61"/>
      <c r="C33" s="61"/>
      <c r="D33" s="61"/>
      <c r="E33" s="61"/>
      <c r="F33" s="62"/>
      <c r="G33" s="61"/>
      <c r="H33" s="61"/>
      <c r="I33" s="61"/>
    </row>
    <row r="34" customFormat="false" ht="18.75" hidden="false" customHeight="true" outlineLevel="0" collapsed="false">
      <c r="B34" s="63"/>
      <c r="C34" s="63"/>
      <c r="D34" s="63"/>
      <c r="E34" s="63"/>
      <c r="F34" s="64"/>
      <c r="G34" s="63"/>
      <c r="H34" s="63"/>
      <c r="I34" s="63"/>
    </row>
    <row r="35" customFormat="false" ht="18.75" hidden="false" customHeight="true" outlineLevel="0" collapsed="false">
      <c r="B35" s="61"/>
      <c r="C35" s="61"/>
      <c r="D35" s="61"/>
      <c r="E35" s="61"/>
      <c r="F35" s="62"/>
      <c r="G35" s="61"/>
      <c r="H35" s="61"/>
      <c r="I35" s="61"/>
    </row>
    <row r="36" customFormat="false" ht="18.75" hidden="false" customHeight="true" outlineLevel="0" collapsed="false">
      <c r="B36" s="63"/>
      <c r="C36" s="63"/>
      <c r="D36" s="63"/>
      <c r="E36" s="63"/>
      <c r="F36" s="64"/>
      <c r="G36" s="63"/>
      <c r="H36" s="63"/>
      <c r="I36" s="63"/>
    </row>
    <row r="37" customFormat="false" ht="18.75" hidden="false" customHeight="true" outlineLevel="0" collapsed="false">
      <c r="B37" s="61"/>
      <c r="C37" s="61"/>
      <c r="D37" s="61"/>
      <c r="E37" s="61"/>
      <c r="F37" s="62"/>
      <c r="G37" s="61"/>
      <c r="H37" s="61"/>
      <c r="I37" s="61"/>
    </row>
    <row r="38" customFormat="false" ht="18.75" hidden="false" customHeight="true" outlineLevel="0" collapsed="false">
      <c r="B38" s="63"/>
      <c r="C38" s="63"/>
      <c r="D38" s="63"/>
      <c r="E38" s="63"/>
      <c r="F38" s="64"/>
      <c r="G38" s="63"/>
      <c r="H38" s="63"/>
      <c r="I38" s="63"/>
    </row>
    <row r="39" customFormat="false" ht="18.75" hidden="false" customHeight="true" outlineLevel="0" collapsed="false">
      <c r="B39" s="61"/>
      <c r="C39" s="61"/>
      <c r="D39" s="61"/>
      <c r="E39" s="61"/>
      <c r="F39" s="62"/>
      <c r="G39" s="61"/>
      <c r="H39" s="61"/>
      <c r="I39" s="61"/>
    </row>
    <row r="40" customFormat="false" ht="18.75" hidden="false" customHeight="true" outlineLevel="0" collapsed="false">
      <c r="B40" s="63"/>
      <c r="C40" s="63"/>
      <c r="D40" s="63"/>
      <c r="E40" s="63"/>
      <c r="F40" s="64"/>
      <c r="G40" s="63"/>
      <c r="H40" s="63"/>
      <c r="I40" s="63"/>
    </row>
    <row r="41" customFormat="false" ht="18.75" hidden="false" customHeight="true" outlineLevel="0" collapsed="false">
      <c r="B41" s="61"/>
      <c r="C41" s="61"/>
      <c r="D41" s="61"/>
      <c r="E41" s="61"/>
      <c r="F41" s="62"/>
      <c r="G41" s="61"/>
      <c r="H41" s="61"/>
      <c r="I41" s="61"/>
    </row>
    <row r="42" customFormat="false" ht="18.75" hidden="false" customHeight="true" outlineLevel="0" collapsed="false">
      <c r="B42" s="63"/>
      <c r="C42" s="63"/>
      <c r="D42" s="63"/>
      <c r="E42" s="63"/>
      <c r="F42" s="64"/>
      <c r="G42" s="63"/>
      <c r="H42" s="63"/>
      <c r="I42" s="63"/>
    </row>
    <row r="43" customFormat="false" ht="18.75" hidden="false" customHeight="true" outlineLevel="0" collapsed="false">
      <c r="B43" s="61"/>
      <c r="C43" s="61"/>
      <c r="D43" s="61"/>
      <c r="E43" s="61"/>
      <c r="F43" s="62"/>
      <c r="G43" s="61"/>
      <c r="H43" s="61"/>
      <c r="I43" s="61"/>
    </row>
    <row r="44" customFormat="false" ht="18.75" hidden="false" customHeight="true" outlineLevel="0" collapsed="false">
      <c r="B44" s="63"/>
      <c r="C44" s="63"/>
      <c r="D44" s="63"/>
      <c r="E44" s="63"/>
      <c r="F44" s="64"/>
      <c r="G44" s="63"/>
      <c r="H44" s="63"/>
      <c r="I44" s="63"/>
    </row>
    <row r="45" customFormat="false" ht="18.75" hidden="false" customHeight="true" outlineLevel="0" collapsed="false">
      <c r="B45" s="61"/>
      <c r="C45" s="61"/>
      <c r="D45" s="61"/>
      <c r="E45" s="61"/>
      <c r="F45" s="62"/>
      <c r="G45" s="61"/>
      <c r="H45" s="61"/>
      <c r="I45" s="61"/>
    </row>
    <row r="46" customFormat="false" ht="18.75" hidden="false" customHeight="true" outlineLevel="0" collapsed="false">
      <c r="B46" s="63"/>
      <c r="C46" s="63"/>
      <c r="D46" s="63"/>
      <c r="E46" s="63"/>
      <c r="F46" s="64"/>
      <c r="G46" s="63"/>
      <c r="H46" s="63"/>
      <c r="I46" s="63"/>
    </row>
    <row r="47" customFormat="false" ht="18.75" hidden="false" customHeight="true" outlineLevel="0" collapsed="false">
      <c r="B47" s="61"/>
      <c r="C47" s="61"/>
      <c r="D47" s="61"/>
      <c r="E47" s="61"/>
      <c r="F47" s="62"/>
      <c r="G47" s="61"/>
      <c r="H47" s="61"/>
      <c r="I47" s="61"/>
    </row>
    <row r="48" customFormat="false" ht="18.75" hidden="false" customHeight="true" outlineLevel="0" collapsed="false">
      <c r="B48" s="63"/>
      <c r="C48" s="63"/>
      <c r="D48" s="63"/>
      <c r="E48" s="63"/>
      <c r="F48" s="64"/>
      <c r="G48" s="63"/>
      <c r="H48" s="63"/>
      <c r="I48" s="63"/>
    </row>
    <row r="49" customFormat="false" ht="18.75" hidden="false" customHeight="true" outlineLevel="0" collapsed="false">
      <c r="B49" s="61"/>
      <c r="C49" s="61"/>
      <c r="D49" s="61"/>
      <c r="E49" s="61"/>
      <c r="F49" s="62"/>
      <c r="G49" s="61"/>
      <c r="H49" s="61"/>
      <c r="I49" s="61"/>
    </row>
    <row r="50" customFormat="false" ht="18.75" hidden="false" customHeight="true" outlineLevel="0" collapsed="false">
      <c r="B50" s="63"/>
      <c r="C50" s="63"/>
      <c r="D50" s="63"/>
      <c r="E50" s="63"/>
      <c r="F50" s="64"/>
      <c r="G50" s="63"/>
      <c r="H50" s="63"/>
      <c r="I50" s="63"/>
    </row>
    <row r="51" customFormat="false" ht="18.75" hidden="false" customHeight="true" outlineLevel="0" collapsed="false">
      <c r="B51" s="61"/>
      <c r="C51" s="61"/>
      <c r="D51" s="61"/>
      <c r="E51" s="61"/>
      <c r="F51" s="62"/>
      <c r="G51" s="61"/>
      <c r="H51" s="61"/>
      <c r="I51" s="61"/>
    </row>
    <row r="52" customFormat="false" ht="18.75" hidden="false" customHeight="true" outlineLevel="0" collapsed="false">
      <c r="B52" s="63"/>
      <c r="C52" s="63"/>
      <c r="D52" s="63"/>
      <c r="E52" s="63"/>
      <c r="F52" s="64"/>
      <c r="G52" s="63"/>
      <c r="H52" s="63"/>
      <c r="I52" s="63"/>
    </row>
    <row r="53" customFormat="false" ht="18.75" hidden="false" customHeight="true" outlineLevel="0" collapsed="false">
      <c r="B53" s="61"/>
      <c r="C53" s="61"/>
      <c r="D53" s="61"/>
      <c r="E53" s="61"/>
      <c r="F53" s="62"/>
      <c r="G53" s="61"/>
      <c r="H53" s="61"/>
      <c r="I53" s="61"/>
    </row>
    <row r="54" customFormat="false" ht="18.75" hidden="false" customHeight="true" outlineLevel="0" collapsed="false">
      <c r="B54" s="63"/>
      <c r="C54" s="63"/>
      <c r="D54" s="63"/>
      <c r="E54" s="63"/>
      <c r="F54" s="64"/>
      <c r="G54" s="63"/>
      <c r="H54" s="63"/>
      <c r="I54" s="63"/>
    </row>
    <row r="55" customFormat="false" ht="18.75" hidden="false" customHeight="true" outlineLevel="0" collapsed="false">
      <c r="B55" s="61"/>
      <c r="C55" s="61"/>
      <c r="D55" s="61"/>
      <c r="E55" s="61"/>
      <c r="F55" s="62"/>
      <c r="G55" s="61"/>
      <c r="H55" s="61"/>
      <c r="I55" s="61"/>
    </row>
    <row r="56" customFormat="false" ht="18.75" hidden="false" customHeight="true" outlineLevel="0" collapsed="false">
      <c r="B56" s="63"/>
      <c r="C56" s="63"/>
      <c r="D56" s="63"/>
      <c r="E56" s="63"/>
      <c r="F56" s="64"/>
      <c r="G56" s="63"/>
      <c r="H56" s="63"/>
      <c r="I56" s="63"/>
    </row>
    <row r="57" customFormat="false" ht="18.75" hidden="false" customHeight="true" outlineLevel="0" collapsed="false">
      <c r="B57" s="61"/>
      <c r="C57" s="61"/>
      <c r="D57" s="61"/>
      <c r="E57" s="61"/>
      <c r="F57" s="62"/>
      <c r="G57" s="61"/>
      <c r="H57" s="61"/>
      <c r="I57" s="61"/>
    </row>
    <row r="58" customFormat="false" ht="18.75" hidden="false" customHeight="true" outlineLevel="0" collapsed="false">
      <c r="B58" s="63"/>
      <c r="C58" s="63"/>
      <c r="D58" s="63"/>
      <c r="E58" s="63"/>
      <c r="F58" s="64"/>
      <c r="G58" s="63"/>
      <c r="H58" s="63"/>
      <c r="I58" s="63"/>
    </row>
    <row r="59" customFormat="false" ht="18.75" hidden="false" customHeight="true" outlineLevel="0" collapsed="false">
      <c r="B59" s="61"/>
      <c r="C59" s="61"/>
      <c r="D59" s="61"/>
      <c r="E59" s="61"/>
      <c r="F59" s="62"/>
      <c r="G59" s="61"/>
      <c r="H59" s="61"/>
      <c r="I59" s="61"/>
    </row>
    <row r="60" customFormat="false" ht="18.75" hidden="false" customHeight="true" outlineLevel="0" collapsed="false">
      <c r="B60" s="63"/>
      <c r="C60" s="63"/>
      <c r="D60" s="63"/>
      <c r="E60" s="63"/>
      <c r="F60" s="64"/>
      <c r="G60" s="63"/>
      <c r="H60" s="63"/>
      <c r="I60" s="63"/>
    </row>
    <row r="61" customFormat="false" ht="18.75" hidden="false" customHeight="true" outlineLevel="0" collapsed="false">
      <c r="B61" s="61"/>
      <c r="C61" s="61"/>
      <c r="D61" s="61"/>
      <c r="E61" s="61"/>
      <c r="F61" s="62"/>
      <c r="G61" s="61"/>
      <c r="H61" s="61"/>
      <c r="I61" s="61"/>
    </row>
    <row r="62" customFormat="false" ht="18.75" hidden="false" customHeight="true" outlineLevel="0" collapsed="false">
      <c r="B62" s="63"/>
      <c r="C62" s="63"/>
      <c r="D62" s="63"/>
      <c r="E62" s="63"/>
      <c r="F62" s="64"/>
      <c r="G62" s="63"/>
      <c r="H62" s="63"/>
      <c r="I62" s="63"/>
    </row>
    <row r="63" customFormat="false" ht="18.75" hidden="false" customHeight="true" outlineLevel="0" collapsed="false">
      <c r="B63" s="61"/>
      <c r="C63" s="61"/>
      <c r="D63" s="61"/>
      <c r="E63" s="61"/>
      <c r="F63" s="62"/>
      <c r="G63" s="61"/>
      <c r="H63" s="61"/>
      <c r="I63" s="61"/>
    </row>
    <row r="64" customFormat="false" ht="18.75" hidden="false" customHeight="true" outlineLevel="0" collapsed="false">
      <c r="B64" s="63"/>
      <c r="C64" s="63"/>
      <c r="D64" s="63"/>
      <c r="E64" s="63"/>
      <c r="F64" s="64"/>
      <c r="G64" s="63"/>
      <c r="H64" s="63"/>
      <c r="I64" s="63"/>
    </row>
    <row r="65" customFormat="false" ht="18.75" hidden="false" customHeight="true" outlineLevel="0" collapsed="false">
      <c r="B65" s="61"/>
      <c r="C65" s="61"/>
      <c r="D65" s="61"/>
      <c r="E65" s="61"/>
      <c r="F65" s="62"/>
      <c r="G65" s="61"/>
      <c r="H65" s="61"/>
      <c r="I65" s="61"/>
    </row>
    <row r="66" customFormat="false" ht="18.75" hidden="false" customHeight="true" outlineLevel="0" collapsed="false">
      <c r="B66" s="63"/>
      <c r="C66" s="63"/>
      <c r="D66" s="63"/>
      <c r="E66" s="63"/>
      <c r="F66" s="64"/>
      <c r="G66" s="63"/>
      <c r="H66" s="63"/>
      <c r="I66" s="63"/>
    </row>
    <row r="67" customFormat="false" ht="18.75" hidden="false" customHeight="true" outlineLevel="0" collapsed="false">
      <c r="B67" s="61"/>
      <c r="C67" s="61"/>
      <c r="D67" s="61"/>
      <c r="E67" s="61"/>
      <c r="F67" s="62"/>
      <c r="G67" s="61"/>
      <c r="H67" s="61"/>
      <c r="I67" s="61"/>
    </row>
    <row r="68" customFormat="false" ht="18.75" hidden="false" customHeight="true" outlineLevel="0" collapsed="false">
      <c r="B68" s="63"/>
      <c r="C68" s="63"/>
      <c r="D68" s="63"/>
      <c r="E68" s="63"/>
      <c r="F68" s="64"/>
      <c r="G68" s="63"/>
      <c r="H68" s="63"/>
      <c r="I68" s="63"/>
    </row>
    <row r="69" customFormat="false" ht="18.75" hidden="false" customHeight="true" outlineLevel="0" collapsed="false">
      <c r="B69" s="61"/>
      <c r="C69" s="61"/>
      <c r="D69" s="61"/>
      <c r="E69" s="61"/>
      <c r="F69" s="62"/>
      <c r="G69" s="61"/>
      <c r="H69" s="61"/>
      <c r="I69" s="61"/>
    </row>
    <row r="70" customFormat="false" ht="18.75" hidden="false" customHeight="true" outlineLevel="0" collapsed="false">
      <c r="B70" s="63"/>
      <c r="C70" s="63"/>
      <c r="D70" s="63"/>
      <c r="E70" s="63"/>
      <c r="F70" s="64"/>
      <c r="G70" s="63"/>
      <c r="H70" s="63"/>
      <c r="I70" s="63"/>
    </row>
    <row r="71" customFormat="false" ht="18.75" hidden="false" customHeight="true" outlineLevel="0" collapsed="false">
      <c r="B71" s="61"/>
      <c r="C71" s="61"/>
      <c r="D71" s="61"/>
      <c r="E71" s="61"/>
      <c r="F71" s="62"/>
      <c r="G71" s="61"/>
      <c r="H71" s="61"/>
      <c r="I71" s="61"/>
    </row>
    <row r="72" customFormat="false" ht="18.75" hidden="false" customHeight="true" outlineLevel="0" collapsed="false">
      <c r="B72" s="63"/>
      <c r="C72" s="63"/>
      <c r="D72" s="63"/>
      <c r="E72" s="63"/>
      <c r="F72" s="64"/>
      <c r="G72" s="63"/>
      <c r="H72" s="63"/>
      <c r="I72" s="63"/>
    </row>
    <row r="73" customFormat="false" ht="18.75" hidden="false" customHeight="true" outlineLevel="0" collapsed="false">
      <c r="B73" s="61"/>
      <c r="C73" s="61"/>
      <c r="D73" s="61"/>
      <c r="E73" s="61"/>
      <c r="F73" s="62"/>
      <c r="G73" s="61"/>
      <c r="H73" s="61"/>
      <c r="I73" s="61"/>
    </row>
    <row r="74" customFormat="false" ht="18.75" hidden="false" customHeight="true" outlineLevel="0" collapsed="false">
      <c r="B74" s="63"/>
      <c r="C74" s="63"/>
      <c r="D74" s="63"/>
      <c r="E74" s="63"/>
      <c r="F74" s="64"/>
      <c r="G74" s="63"/>
      <c r="H74" s="63"/>
      <c r="I74" s="63"/>
    </row>
    <row r="75" customFormat="false" ht="18.75" hidden="false" customHeight="true" outlineLevel="0" collapsed="false">
      <c r="B75" s="61"/>
      <c r="C75" s="61"/>
      <c r="D75" s="61"/>
      <c r="E75" s="61"/>
      <c r="F75" s="62"/>
      <c r="G75" s="61"/>
      <c r="H75" s="61"/>
      <c r="I75" s="61"/>
    </row>
    <row r="76" customFormat="false" ht="18.75" hidden="false" customHeight="true" outlineLevel="0" collapsed="false">
      <c r="B76" s="63"/>
      <c r="C76" s="63"/>
      <c r="D76" s="63"/>
      <c r="E76" s="63"/>
      <c r="F76" s="64"/>
      <c r="G76" s="63"/>
      <c r="H76" s="63"/>
      <c r="I76" s="63"/>
    </row>
    <row r="77" customFormat="false" ht="18.75" hidden="false" customHeight="true" outlineLevel="0" collapsed="false">
      <c r="B77" s="61"/>
      <c r="C77" s="61"/>
      <c r="D77" s="61"/>
      <c r="E77" s="61"/>
      <c r="F77" s="62"/>
      <c r="G77" s="61"/>
      <c r="H77" s="61"/>
      <c r="I77" s="61"/>
    </row>
    <row r="78" customFormat="false" ht="18.75" hidden="false" customHeight="true" outlineLevel="0" collapsed="false">
      <c r="B78" s="63"/>
      <c r="C78" s="63"/>
      <c r="D78" s="63"/>
      <c r="E78" s="63"/>
      <c r="F78" s="64"/>
      <c r="G78" s="63"/>
      <c r="H78" s="63"/>
      <c r="I78" s="63"/>
    </row>
    <row r="79" customFormat="false" ht="18.75" hidden="false" customHeight="true" outlineLevel="0" collapsed="false">
      <c r="B79" s="61"/>
      <c r="C79" s="61"/>
      <c r="D79" s="61"/>
      <c r="E79" s="61"/>
      <c r="F79" s="62"/>
      <c r="G79" s="61"/>
      <c r="H79" s="61"/>
      <c r="I79" s="61"/>
    </row>
    <row r="80" customFormat="false" ht="18.75" hidden="false" customHeight="true" outlineLevel="0" collapsed="false">
      <c r="B80" s="63"/>
      <c r="C80" s="63"/>
      <c r="D80" s="63"/>
      <c r="E80" s="63"/>
      <c r="F80" s="64"/>
      <c r="G80" s="63"/>
      <c r="H80" s="63"/>
      <c r="I80" s="63"/>
    </row>
    <row r="81" customFormat="false" ht="18.75" hidden="false" customHeight="true" outlineLevel="0" collapsed="false">
      <c r="B81" s="61"/>
      <c r="C81" s="61"/>
      <c r="D81" s="61"/>
      <c r="E81" s="61"/>
      <c r="F81" s="62"/>
      <c r="G81" s="61"/>
      <c r="H81" s="61"/>
      <c r="I81" s="61"/>
    </row>
    <row r="82" customFormat="false" ht="18.75" hidden="false" customHeight="true" outlineLevel="0" collapsed="false">
      <c r="B82" s="63"/>
      <c r="C82" s="63"/>
      <c r="D82" s="63"/>
      <c r="E82" s="63"/>
      <c r="F82" s="64"/>
      <c r="G82" s="63"/>
      <c r="H82" s="63"/>
      <c r="I82" s="63"/>
    </row>
    <row r="83" customFormat="false" ht="18.75" hidden="false" customHeight="true" outlineLevel="0" collapsed="false">
      <c r="B83" s="61"/>
      <c r="C83" s="61"/>
      <c r="D83" s="61"/>
      <c r="E83" s="61"/>
      <c r="F83" s="62"/>
      <c r="G83" s="61"/>
      <c r="H83" s="61"/>
      <c r="I83" s="61"/>
    </row>
    <row r="84" customFormat="false" ht="18.75" hidden="false" customHeight="true" outlineLevel="0" collapsed="false">
      <c r="B84" s="63"/>
      <c r="C84" s="63"/>
      <c r="D84" s="63"/>
      <c r="E84" s="63"/>
      <c r="F84" s="64"/>
      <c r="G84" s="63"/>
      <c r="H84" s="63"/>
      <c r="I84" s="63"/>
    </row>
    <row r="85" customFormat="false" ht="18.75" hidden="false" customHeight="true" outlineLevel="0" collapsed="false">
      <c r="B85" s="61"/>
      <c r="C85" s="61"/>
      <c r="D85" s="61"/>
      <c r="E85" s="61"/>
      <c r="F85" s="62"/>
      <c r="G85" s="61"/>
      <c r="H85" s="61"/>
      <c r="I85" s="61"/>
    </row>
    <row r="86" customFormat="false" ht="18.75" hidden="false" customHeight="true" outlineLevel="0" collapsed="false">
      <c r="B86" s="63"/>
      <c r="C86" s="63"/>
      <c r="D86" s="63"/>
      <c r="E86" s="63"/>
      <c r="F86" s="64"/>
      <c r="G86" s="63"/>
      <c r="H86" s="63"/>
      <c r="I86" s="63"/>
    </row>
    <row r="87" customFormat="false" ht="18.75" hidden="false" customHeight="true" outlineLevel="0" collapsed="false">
      <c r="B87" s="61"/>
      <c r="C87" s="61"/>
      <c r="D87" s="61"/>
      <c r="E87" s="61"/>
      <c r="F87" s="62"/>
      <c r="G87" s="61"/>
      <c r="H87" s="61"/>
      <c r="I87" s="61"/>
    </row>
    <row r="88" customFormat="false" ht="18.75" hidden="false" customHeight="true" outlineLevel="0" collapsed="false">
      <c r="B88" s="63"/>
      <c r="C88" s="63"/>
      <c r="D88" s="63"/>
      <c r="E88" s="63"/>
      <c r="F88" s="64"/>
      <c r="G88" s="63"/>
      <c r="H88" s="63"/>
      <c r="I88" s="63"/>
    </row>
    <row r="89" customFormat="false" ht="18.75" hidden="false" customHeight="true" outlineLevel="0" collapsed="false">
      <c r="B89" s="61"/>
      <c r="C89" s="61"/>
      <c r="D89" s="61"/>
      <c r="E89" s="61"/>
      <c r="F89" s="62"/>
      <c r="G89" s="61"/>
      <c r="H89" s="61"/>
      <c r="I89" s="61"/>
    </row>
    <row r="90" customFormat="false" ht="18.75" hidden="false" customHeight="true" outlineLevel="0" collapsed="false">
      <c r="B90" s="63"/>
      <c r="C90" s="63"/>
      <c r="D90" s="63"/>
      <c r="E90" s="63"/>
      <c r="F90" s="64"/>
      <c r="G90" s="63"/>
      <c r="H90" s="63"/>
      <c r="I90" s="63"/>
    </row>
    <row r="91" customFormat="false" ht="18.75" hidden="false" customHeight="true" outlineLevel="0" collapsed="false">
      <c r="B91" s="61"/>
      <c r="C91" s="61"/>
      <c r="D91" s="61"/>
      <c r="E91" s="61"/>
      <c r="F91" s="62"/>
      <c r="G91" s="61"/>
      <c r="H91" s="61"/>
      <c r="I91" s="61"/>
    </row>
    <row r="92" customFormat="false" ht="18.75" hidden="false" customHeight="true" outlineLevel="0" collapsed="false">
      <c r="B92" s="63"/>
      <c r="C92" s="63"/>
      <c r="D92" s="63"/>
      <c r="E92" s="63"/>
      <c r="F92" s="64"/>
      <c r="G92" s="63"/>
      <c r="H92" s="63"/>
      <c r="I92" s="63"/>
    </row>
    <row r="93" customFormat="false" ht="18.75" hidden="false" customHeight="true" outlineLevel="0" collapsed="false">
      <c r="B93" s="61"/>
      <c r="C93" s="61"/>
      <c r="D93" s="61"/>
      <c r="E93" s="61"/>
      <c r="F93" s="62"/>
      <c r="G93" s="61"/>
      <c r="H93" s="61"/>
      <c r="I93" s="61"/>
    </row>
    <row r="94" customFormat="false" ht="18.75" hidden="false" customHeight="true" outlineLevel="0" collapsed="false">
      <c r="B94" s="63"/>
      <c r="C94" s="63"/>
      <c r="D94" s="63"/>
      <c r="E94" s="63"/>
      <c r="F94" s="64"/>
      <c r="G94" s="63"/>
      <c r="H94" s="63"/>
      <c r="I94" s="63"/>
    </row>
    <row r="95" customFormat="false" ht="18.75" hidden="false" customHeight="true" outlineLevel="0" collapsed="false">
      <c r="B95" s="61"/>
      <c r="C95" s="61"/>
      <c r="D95" s="61"/>
      <c r="E95" s="61"/>
      <c r="F95" s="62"/>
      <c r="G95" s="61"/>
      <c r="H95" s="61"/>
      <c r="I95" s="61"/>
    </row>
    <row r="96" customFormat="false" ht="18.75" hidden="false" customHeight="true" outlineLevel="0" collapsed="false">
      <c r="B96" s="63"/>
      <c r="C96" s="63"/>
      <c r="D96" s="63"/>
      <c r="E96" s="63"/>
      <c r="F96" s="64"/>
      <c r="G96" s="63"/>
      <c r="H96" s="63"/>
      <c r="I96" s="63"/>
    </row>
    <row r="97" customFormat="false" ht="18.75" hidden="false" customHeight="true" outlineLevel="0" collapsed="false">
      <c r="B97" s="61"/>
      <c r="C97" s="61"/>
      <c r="D97" s="61"/>
      <c r="E97" s="61"/>
      <c r="F97" s="62"/>
      <c r="G97" s="61"/>
      <c r="H97" s="61"/>
      <c r="I97" s="61"/>
    </row>
    <row r="98" customFormat="false" ht="18.75" hidden="false" customHeight="true" outlineLevel="0" collapsed="false">
      <c r="B98" s="63"/>
      <c r="C98" s="63"/>
      <c r="D98" s="63"/>
      <c r="E98" s="63"/>
      <c r="F98" s="64"/>
      <c r="G98" s="63"/>
      <c r="H98" s="63"/>
      <c r="I98" s="63"/>
    </row>
    <row r="99" customFormat="false" ht="18.75" hidden="false" customHeight="true" outlineLevel="0" collapsed="false">
      <c r="B99" s="61"/>
      <c r="C99" s="61"/>
      <c r="D99" s="61"/>
      <c r="E99" s="61"/>
      <c r="F99" s="62"/>
      <c r="G99" s="61"/>
      <c r="H99" s="61"/>
      <c r="I99" s="61"/>
    </row>
    <row r="100" customFormat="false" ht="18.75" hidden="false" customHeight="true" outlineLevel="0" collapsed="false">
      <c r="B100" s="63"/>
      <c r="C100" s="63"/>
      <c r="D100" s="63"/>
      <c r="E100" s="63"/>
      <c r="F100" s="64"/>
      <c r="G100" s="63"/>
      <c r="H100" s="63"/>
      <c r="I100" s="63"/>
    </row>
    <row r="101" customFormat="false" ht="18.75" hidden="false" customHeight="true" outlineLevel="0" collapsed="false">
      <c r="B101" s="61"/>
      <c r="C101" s="61"/>
      <c r="D101" s="61"/>
      <c r="E101" s="61"/>
      <c r="F101" s="62"/>
      <c r="G101" s="61"/>
      <c r="H101" s="61"/>
      <c r="I101" s="61"/>
    </row>
    <row r="102" customFormat="false" ht="18.75" hidden="false" customHeight="true" outlineLevel="0" collapsed="false">
      <c r="B102" s="63"/>
      <c r="C102" s="63"/>
      <c r="D102" s="63"/>
      <c r="E102" s="63"/>
      <c r="F102" s="64"/>
      <c r="G102" s="63"/>
      <c r="H102" s="63"/>
      <c r="I102" s="63"/>
    </row>
    <row r="103" customFormat="false" ht="18.75" hidden="false" customHeight="true" outlineLevel="0" collapsed="false">
      <c r="B103" s="61"/>
      <c r="C103" s="61"/>
      <c r="D103" s="61"/>
      <c r="E103" s="61"/>
      <c r="F103" s="62"/>
      <c r="G103" s="61"/>
      <c r="H103" s="61"/>
      <c r="I103" s="61"/>
    </row>
    <row r="104" customFormat="false" ht="18.75" hidden="false" customHeight="true" outlineLevel="0" collapsed="false">
      <c r="B104" s="63"/>
      <c r="C104" s="63"/>
      <c r="D104" s="63"/>
      <c r="E104" s="63"/>
      <c r="F104" s="64"/>
      <c r="G104" s="63"/>
      <c r="H104" s="63"/>
      <c r="I104" s="63"/>
    </row>
    <row r="105" customFormat="false" ht="18.75" hidden="false" customHeight="true" outlineLevel="0" collapsed="false">
      <c r="B105" s="61"/>
      <c r="C105" s="61"/>
      <c r="D105" s="61"/>
      <c r="E105" s="61"/>
      <c r="F105" s="62"/>
      <c r="G105" s="61"/>
      <c r="H105" s="61"/>
      <c r="I105" s="61"/>
    </row>
    <row r="106" customFormat="false" ht="18.75" hidden="false" customHeight="true" outlineLevel="0" collapsed="false">
      <c r="B106" s="63"/>
      <c r="C106" s="63"/>
      <c r="D106" s="63"/>
      <c r="E106" s="63"/>
      <c r="F106" s="64"/>
      <c r="G106" s="63"/>
      <c r="H106" s="63"/>
      <c r="I106" s="63"/>
    </row>
    <row r="107" customFormat="false" ht="18.75" hidden="false" customHeight="true" outlineLevel="0" collapsed="false">
      <c r="B107" s="61"/>
      <c r="C107" s="61"/>
      <c r="D107" s="61"/>
      <c r="E107" s="61"/>
      <c r="F107" s="62"/>
      <c r="G107" s="61"/>
      <c r="H107" s="61"/>
      <c r="I107" s="61"/>
    </row>
    <row r="108" customFormat="false" ht="18.75" hidden="false" customHeight="true" outlineLevel="0" collapsed="false">
      <c r="B108" s="65" t="s">
        <v>96</v>
      </c>
      <c r="C108" s="65"/>
      <c r="D108" s="65"/>
      <c r="E108" s="65"/>
      <c r="F108" s="66" t="n">
        <f aca="false">SUM(E8:E107)</f>
        <v>0</v>
      </c>
    </row>
    <row r="109" customFormat="false" ht="18.75" hidden="false" customHeight="true" outlineLevel="0" collapsed="false"/>
    <row r="110" customFormat="false" ht="18.75" hidden="false" customHeight="true" outlineLevel="0" collapsed="false">
      <c r="B110" s="67" t="s">
        <v>97</v>
      </c>
      <c r="C110" s="67"/>
      <c r="D110" s="67"/>
      <c r="E110" s="67"/>
      <c r="F110" s="67"/>
      <c r="G110" s="67"/>
      <c r="H110" s="67"/>
    </row>
    <row r="111" customFormat="false" ht="18.75" hidden="false" customHeight="true" outlineLevel="0" collapsed="false"/>
    <row r="112" customFormat="false" ht="18.75" hidden="false" customHeight="true" outlineLevel="0" collapsed="false"/>
    <row r="113" customFormat="false" ht="18.75" hidden="false" customHeight="true" outlineLevel="0" collapsed="false"/>
    <row r="114" customFormat="false" ht="18.75" hidden="false" customHeight="true" outlineLevel="0" collapsed="false"/>
    <row r="115" customFormat="false" ht="18.75" hidden="false" customHeight="true" outlineLevel="0" collapsed="false"/>
    <row r="116" customFormat="false" ht="18.75" hidden="false" customHeight="true" outlineLevel="0" collapsed="false"/>
    <row r="117" customFormat="false" ht="18.75" hidden="false" customHeight="true" outlineLevel="0" collapsed="false"/>
    <row r="118" customFormat="false" ht="18.75" hidden="false" customHeight="true" outlineLevel="0" collapsed="false"/>
    <row r="119" customFormat="false" ht="18.75" hidden="false" customHeight="true" outlineLevel="0" collapsed="false"/>
  </sheetData>
  <mergeCells count="9">
    <mergeCell ref="B1:H2"/>
    <mergeCell ref="B4:C4"/>
    <mergeCell ref="D4:E4"/>
    <mergeCell ref="F4:G4"/>
    <mergeCell ref="B5:C5"/>
    <mergeCell ref="D5:E5"/>
    <mergeCell ref="F5:G5"/>
    <mergeCell ref="B108:E108"/>
    <mergeCell ref="B110:H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4"/>
  </cols>
  <sheetData>
    <row r="1" customFormat="false" ht="18.75" hidden="false" customHeight="true" outlineLevel="0" collapsed="false">
      <c r="B1" s="48" t="s">
        <v>134</v>
      </c>
      <c r="C1" s="48"/>
      <c r="D1" s="48"/>
      <c r="E1" s="48"/>
      <c r="F1" s="48"/>
      <c r="G1" s="48"/>
      <c r="H1" s="48"/>
    </row>
    <row r="2" customFormat="false" ht="18.75" hidden="false" customHeight="true" outlineLevel="0" collapsed="false">
      <c r="B2" s="48"/>
      <c r="C2" s="48"/>
      <c r="D2" s="48"/>
      <c r="E2" s="48"/>
      <c r="F2" s="48"/>
      <c r="G2" s="48"/>
      <c r="H2" s="48"/>
    </row>
    <row r="3" customFormat="false" ht="18.75" hidden="false" customHeight="true" outlineLevel="0" collapsed="false"/>
    <row r="4" customFormat="false" ht="18.75" hidden="false" customHeight="true" outlineLevel="0" collapsed="false">
      <c r="B4" s="49" t="s">
        <v>51</v>
      </c>
      <c r="C4" s="49"/>
      <c r="D4" s="50" t="s">
        <v>52</v>
      </c>
      <c r="E4" s="50"/>
      <c r="F4" s="51" t="s">
        <v>53</v>
      </c>
      <c r="G4" s="51"/>
    </row>
    <row r="5" customFormat="false" ht="18.75" hidden="false" customHeight="true" outlineLevel="0" collapsed="false">
      <c r="B5" s="52" t="n">
        <f aca="false">SUMIF(C8:C107,"Receita",E8:E107)</f>
        <v>0</v>
      </c>
      <c r="C5" s="52"/>
      <c r="D5" s="53" t="n">
        <f aca="false">SUMIF(C8:C107,"Despesa",E8:E107)</f>
        <v>0</v>
      </c>
      <c r="E5" s="53"/>
      <c r="F5" s="54" t="n">
        <f aca="false">B5-D5</f>
        <v>0</v>
      </c>
      <c r="G5" s="54"/>
    </row>
    <row r="6" customFormat="false" ht="18.75" hidden="false" customHeight="true" outlineLevel="0" collapsed="false"/>
    <row r="7" customFormat="false" ht="18.75" hidden="false" customHeight="true" outlineLevel="0" collapsed="false">
      <c r="B7" s="24" t="s">
        <v>54</v>
      </c>
      <c r="C7" s="24" t="s">
        <v>55</v>
      </c>
      <c r="D7" s="24" t="s">
        <v>20</v>
      </c>
      <c r="E7" s="24" t="s">
        <v>19</v>
      </c>
      <c r="F7" s="24" t="s">
        <v>56</v>
      </c>
      <c r="G7" s="24" t="s">
        <v>25</v>
      </c>
      <c r="H7" s="24" t="s">
        <v>57</v>
      </c>
      <c r="I7" s="24" t="s">
        <v>58</v>
      </c>
    </row>
    <row r="8" customFormat="false" ht="18.75" hidden="false" customHeight="true" outlineLevel="0" collapsed="false">
      <c r="B8" s="55" t="s">
        <v>135</v>
      </c>
      <c r="C8" s="56" t="s">
        <v>60</v>
      </c>
      <c r="D8" s="55" t="s">
        <v>61</v>
      </c>
      <c r="E8" s="55" t="s">
        <v>62</v>
      </c>
      <c r="F8" s="57" t="n">
        <v>3500</v>
      </c>
      <c r="G8" s="55" t="s">
        <v>63</v>
      </c>
      <c r="H8" s="55" t="s">
        <v>64</v>
      </c>
      <c r="I8" s="55" t="s">
        <v>65</v>
      </c>
    </row>
    <row r="9" customFormat="false" ht="18.75" hidden="false" customHeight="true" outlineLevel="0" collapsed="false">
      <c r="B9" s="58" t="s">
        <v>135</v>
      </c>
      <c r="C9" s="59" t="s">
        <v>66</v>
      </c>
      <c r="D9" s="58" t="s">
        <v>61</v>
      </c>
      <c r="E9" s="58" t="s">
        <v>62</v>
      </c>
      <c r="F9" s="60" t="n">
        <v>500</v>
      </c>
      <c r="G9" s="58" t="s">
        <v>63</v>
      </c>
      <c r="H9" s="58" t="s">
        <v>67</v>
      </c>
      <c r="I9" s="58" t="s">
        <v>68</v>
      </c>
    </row>
    <row r="10" customFormat="false" ht="18.75" hidden="false" customHeight="true" outlineLevel="0" collapsed="false">
      <c r="B10" s="55" t="s">
        <v>136</v>
      </c>
      <c r="C10" s="56" t="s">
        <v>70</v>
      </c>
      <c r="D10" s="55" t="s">
        <v>71</v>
      </c>
      <c r="E10" s="55" t="s">
        <v>26</v>
      </c>
      <c r="F10" s="57" t="n">
        <v>1200</v>
      </c>
      <c r="G10" s="55" t="s">
        <v>72</v>
      </c>
      <c r="H10" s="55" t="s">
        <v>73</v>
      </c>
      <c r="I10" s="55" t="s">
        <v>74</v>
      </c>
    </row>
    <row r="11" customFormat="false" ht="18.75" hidden="false" customHeight="true" outlineLevel="0" collapsed="false">
      <c r="B11" s="58" t="s">
        <v>137</v>
      </c>
      <c r="C11" s="59" t="s">
        <v>76</v>
      </c>
      <c r="D11" s="58" t="s">
        <v>71</v>
      </c>
      <c r="E11" s="58" t="s">
        <v>30</v>
      </c>
      <c r="F11" s="60" t="n">
        <v>450</v>
      </c>
      <c r="G11" s="58" t="s">
        <v>72</v>
      </c>
      <c r="H11" s="58" t="s">
        <v>77</v>
      </c>
      <c r="I11" s="58" t="s">
        <v>78</v>
      </c>
    </row>
    <row r="12" customFormat="false" ht="18.75" hidden="false" customHeight="true" outlineLevel="0" collapsed="false">
      <c r="B12" s="55" t="s">
        <v>138</v>
      </c>
      <c r="C12" s="56" t="s">
        <v>80</v>
      </c>
      <c r="D12" s="55" t="s">
        <v>71</v>
      </c>
      <c r="E12" s="55" t="s">
        <v>28</v>
      </c>
      <c r="F12" s="57" t="n">
        <v>150</v>
      </c>
      <c r="G12" s="55" t="s">
        <v>72</v>
      </c>
      <c r="H12" s="55" t="s">
        <v>81</v>
      </c>
      <c r="I12" s="55"/>
    </row>
    <row r="13" customFormat="false" ht="18.75" hidden="false" customHeight="true" outlineLevel="0" collapsed="false">
      <c r="B13" s="58" t="s">
        <v>139</v>
      </c>
      <c r="C13" s="59" t="s">
        <v>83</v>
      </c>
      <c r="D13" s="58" t="s">
        <v>71</v>
      </c>
      <c r="E13" s="58" t="s">
        <v>29</v>
      </c>
      <c r="F13" s="60" t="n">
        <v>200</v>
      </c>
      <c r="G13" s="58" t="s">
        <v>72</v>
      </c>
      <c r="H13" s="58" t="s">
        <v>84</v>
      </c>
      <c r="I13" s="58"/>
    </row>
    <row r="14" customFormat="false" ht="18.75" hidden="false" customHeight="true" outlineLevel="0" collapsed="false">
      <c r="B14" s="55" t="s">
        <v>140</v>
      </c>
      <c r="C14" s="56" t="s">
        <v>86</v>
      </c>
      <c r="D14" s="55" t="s">
        <v>71</v>
      </c>
      <c r="E14" s="55" t="s">
        <v>38</v>
      </c>
      <c r="F14" s="57" t="n">
        <v>500</v>
      </c>
      <c r="G14" s="55" t="s">
        <v>72</v>
      </c>
      <c r="H14" s="55" t="s">
        <v>87</v>
      </c>
      <c r="I14" s="55" t="s">
        <v>88</v>
      </c>
    </row>
    <row r="15" customFormat="false" ht="18.75" hidden="false" customHeight="true" outlineLevel="0" collapsed="false">
      <c r="B15" s="58" t="s">
        <v>141</v>
      </c>
      <c r="C15" s="59" t="s">
        <v>90</v>
      </c>
      <c r="D15" s="58" t="s">
        <v>71</v>
      </c>
      <c r="E15" s="58" t="s">
        <v>32</v>
      </c>
      <c r="F15" s="60" t="n">
        <v>100</v>
      </c>
      <c r="G15" s="58" t="s">
        <v>91</v>
      </c>
      <c r="H15" s="58" t="s">
        <v>92</v>
      </c>
      <c r="I15" s="58"/>
    </row>
    <row r="16" customFormat="false" ht="18.75" hidden="false" customHeight="true" outlineLevel="0" collapsed="false">
      <c r="B16" s="55" t="s">
        <v>142</v>
      </c>
      <c r="C16" s="56" t="s">
        <v>94</v>
      </c>
      <c r="D16" s="55" t="s">
        <v>71</v>
      </c>
      <c r="E16" s="55" t="s">
        <v>36</v>
      </c>
      <c r="F16" s="57" t="n">
        <v>60</v>
      </c>
      <c r="G16" s="55" t="s">
        <v>91</v>
      </c>
      <c r="H16" s="55" t="s">
        <v>95</v>
      </c>
      <c r="I16" s="55"/>
    </row>
    <row r="17" customFormat="false" ht="18.75" hidden="false" customHeight="true" outlineLevel="0" collapsed="false">
      <c r="B17" s="61"/>
      <c r="C17" s="61"/>
      <c r="D17" s="61"/>
      <c r="E17" s="61"/>
      <c r="F17" s="62"/>
      <c r="G17" s="61"/>
      <c r="H17" s="61"/>
      <c r="I17" s="61"/>
    </row>
    <row r="18" customFormat="false" ht="18.75" hidden="false" customHeight="true" outlineLevel="0" collapsed="false">
      <c r="B18" s="63"/>
      <c r="C18" s="63"/>
      <c r="D18" s="63"/>
      <c r="E18" s="63"/>
      <c r="F18" s="64"/>
      <c r="G18" s="63"/>
      <c r="H18" s="63"/>
      <c r="I18" s="63"/>
    </row>
    <row r="19" customFormat="false" ht="18.75" hidden="false" customHeight="true" outlineLevel="0" collapsed="false">
      <c r="B19" s="61"/>
      <c r="C19" s="61"/>
      <c r="D19" s="61"/>
      <c r="E19" s="61"/>
      <c r="F19" s="62"/>
      <c r="G19" s="61"/>
      <c r="H19" s="61"/>
      <c r="I19" s="61"/>
    </row>
    <row r="20" customFormat="false" ht="18.75" hidden="false" customHeight="true" outlineLevel="0" collapsed="false">
      <c r="B20" s="63"/>
      <c r="C20" s="63"/>
      <c r="D20" s="63"/>
      <c r="E20" s="63"/>
      <c r="F20" s="64"/>
      <c r="G20" s="63"/>
      <c r="H20" s="63"/>
      <c r="I20" s="63"/>
    </row>
    <row r="21" customFormat="false" ht="18.75" hidden="false" customHeight="true" outlineLevel="0" collapsed="false">
      <c r="B21" s="61"/>
      <c r="C21" s="61"/>
      <c r="D21" s="61"/>
      <c r="E21" s="61"/>
      <c r="F21" s="62"/>
      <c r="G21" s="61"/>
      <c r="H21" s="61"/>
      <c r="I21" s="61"/>
    </row>
    <row r="22" customFormat="false" ht="18.75" hidden="false" customHeight="true" outlineLevel="0" collapsed="false">
      <c r="B22" s="63"/>
      <c r="C22" s="63"/>
      <c r="D22" s="63"/>
      <c r="E22" s="63"/>
      <c r="F22" s="64"/>
      <c r="G22" s="63"/>
      <c r="H22" s="63"/>
      <c r="I22" s="63"/>
    </row>
    <row r="23" customFormat="false" ht="18.75" hidden="false" customHeight="true" outlineLevel="0" collapsed="false">
      <c r="B23" s="61"/>
      <c r="C23" s="61"/>
      <c r="D23" s="61"/>
      <c r="E23" s="61"/>
      <c r="F23" s="62"/>
      <c r="G23" s="61"/>
      <c r="H23" s="61"/>
      <c r="I23" s="61"/>
    </row>
    <row r="24" customFormat="false" ht="18.75" hidden="false" customHeight="true" outlineLevel="0" collapsed="false">
      <c r="B24" s="63"/>
      <c r="C24" s="63"/>
      <c r="D24" s="63"/>
      <c r="E24" s="63"/>
      <c r="F24" s="64"/>
      <c r="G24" s="63"/>
      <c r="H24" s="63"/>
      <c r="I24" s="63"/>
    </row>
    <row r="25" customFormat="false" ht="18.75" hidden="false" customHeight="true" outlineLevel="0" collapsed="false">
      <c r="B25" s="61"/>
      <c r="C25" s="61"/>
      <c r="D25" s="61"/>
      <c r="E25" s="61"/>
      <c r="F25" s="62"/>
      <c r="G25" s="61"/>
      <c r="H25" s="61"/>
      <c r="I25" s="61"/>
    </row>
    <row r="26" customFormat="false" ht="18.75" hidden="false" customHeight="true" outlineLevel="0" collapsed="false">
      <c r="B26" s="63"/>
      <c r="C26" s="63"/>
      <c r="D26" s="63"/>
      <c r="E26" s="63"/>
      <c r="F26" s="64"/>
      <c r="G26" s="63"/>
      <c r="H26" s="63"/>
      <c r="I26" s="63"/>
    </row>
    <row r="27" customFormat="false" ht="18.75" hidden="false" customHeight="true" outlineLevel="0" collapsed="false">
      <c r="B27" s="61"/>
      <c r="C27" s="61"/>
      <c r="D27" s="61"/>
      <c r="E27" s="61"/>
      <c r="F27" s="62"/>
      <c r="G27" s="61"/>
      <c r="H27" s="61"/>
      <c r="I27" s="61"/>
    </row>
    <row r="28" customFormat="false" ht="18.75" hidden="false" customHeight="true" outlineLevel="0" collapsed="false">
      <c r="B28" s="63"/>
      <c r="C28" s="63"/>
      <c r="D28" s="63"/>
      <c r="E28" s="63"/>
      <c r="F28" s="64"/>
      <c r="G28" s="63"/>
      <c r="H28" s="63"/>
      <c r="I28" s="63"/>
    </row>
    <row r="29" customFormat="false" ht="18.75" hidden="false" customHeight="true" outlineLevel="0" collapsed="false">
      <c r="B29" s="61"/>
      <c r="C29" s="61"/>
      <c r="D29" s="61"/>
      <c r="E29" s="61"/>
      <c r="F29" s="62"/>
      <c r="G29" s="61"/>
      <c r="H29" s="61"/>
      <c r="I29" s="61"/>
    </row>
    <row r="30" customFormat="false" ht="18.75" hidden="false" customHeight="true" outlineLevel="0" collapsed="false">
      <c r="B30" s="63"/>
      <c r="C30" s="63"/>
      <c r="D30" s="63"/>
      <c r="E30" s="63"/>
      <c r="F30" s="64"/>
      <c r="G30" s="63"/>
      <c r="H30" s="63"/>
      <c r="I30" s="63"/>
    </row>
    <row r="31" customFormat="false" ht="18.75" hidden="false" customHeight="true" outlineLevel="0" collapsed="false">
      <c r="B31" s="61"/>
      <c r="C31" s="61"/>
      <c r="D31" s="61"/>
      <c r="E31" s="61"/>
      <c r="F31" s="62"/>
      <c r="G31" s="61"/>
      <c r="H31" s="61"/>
      <c r="I31" s="61"/>
    </row>
    <row r="32" customFormat="false" ht="18.75" hidden="false" customHeight="true" outlineLevel="0" collapsed="false">
      <c r="B32" s="63"/>
      <c r="C32" s="63"/>
      <c r="D32" s="63"/>
      <c r="E32" s="63"/>
      <c r="F32" s="64"/>
      <c r="G32" s="63"/>
      <c r="H32" s="63"/>
      <c r="I32" s="63"/>
    </row>
    <row r="33" customFormat="false" ht="18.75" hidden="false" customHeight="true" outlineLevel="0" collapsed="false">
      <c r="B33" s="61"/>
      <c r="C33" s="61"/>
      <c r="D33" s="61"/>
      <c r="E33" s="61"/>
      <c r="F33" s="62"/>
      <c r="G33" s="61"/>
      <c r="H33" s="61"/>
      <c r="I33" s="61"/>
    </row>
    <row r="34" customFormat="false" ht="18.75" hidden="false" customHeight="true" outlineLevel="0" collapsed="false">
      <c r="B34" s="63"/>
      <c r="C34" s="63"/>
      <c r="D34" s="63"/>
      <c r="E34" s="63"/>
      <c r="F34" s="64"/>
      <c r="G34" s="63"/>
      <c r="H34" s="63"/>
      <c r="I34" s="63"/>
    </row>
    <row r="35" customFormat="false" ht="18.75" hidden="false" customHeight="true" outlineLevel="0" collapsed="false">
      <c r="B35" s="61"/>
      <c r="C35" s="61"/>
      <c r="D35" s="61"/>
      <c r="E35" s="61"/>
      <c r="F35" s="62"/>
      <c r="G35" s="61"/>
      <c r="H35" s="61"/>
      <c r="I35" s="61"/>
    </row>
    <row r="36" customFormat="false" ht="18.75" hidden="false" customHeight="true" outlineLevel="0" collapsed="false">
      <c r="B36" s="63"/>
      <c r="C36" s="63"/>
      <c r="D36" s="63"/>
      <c r="E36" s="63"/>
      <c r="F36" s="64"/>
      <c r="G36" s="63"/>
      <c r="H36" s="63"/>
      <c r="I36" s="63"/>
    </row>
    <row r="37" customFormat="false" ht="18.75" hidden="false" customHeight="true" outlineLevel="0" collapsed="false">
      <c r="B37" s="61"/>
      <c r="C37" s="61"/>
      <c r="D37" s="61"/>
      <c r="E37" s="61"/>
      <c r="F37" s="62"/>
      <c r="G37" s="61"/>
      <c r="H37" s="61"/>
      <c r="I37" s="61"/>
    </row>
    <row r="38" customFormat="false" ht="18.75" hidden="false" customHeight="true" outlineLevel="0" collapsed="false">
      <c r="B38" s="63"/>
      <c r="C38" s="63"/>
      <c r="D38" s="63"/>
      <c r="E38" s="63"/>
      <c r="F38" s="64"/>
      <c r="G38" s="63"/>
      <c r="H38" s="63"/>
      <c r="I38" s="63"/>
    </row>
    <row r="39" customFormat="false" ht="18.75" hidden="false" customHeight="true" outlineLevel="0" collapsed="false">
      <c r="B39" s="61"/>
      <c r="C39" s="61"/>
      <c r="D39" s="61"/>
      <c r="E39" s="61"/>
      <c r="F39" s="62"/>
      <c r="G39" s="61"/>
      <c r="H39" s="61"/>
      <c r="I39" s="61"/>
    </row>
    <row r="40" customFormat="false" ht="18.75" hidden="false" customHeight="true" outlineLevel="0" collapsed="false">
      <c r="B40" s="63"/>
      <c r="C40" s="63"/>
      <c r="D40" s="63"/>
      <c r="E40" s="63"/>
      <c r="F40" s="64"/>
      <c r="G40" s="63"/>
      <c r="H40" s="63"/>
      <c r="I40" s="63"/>
    </row>
    <row r="41" customFormat="false" ht="18.75" hidden="false" customHeight="true" outlineLevel="0" collapsed="false">
      <c r="B41" s="61"/>
      <c r="C41" s="61"/>
      <c r="D41" s="61"/>
      <c r="E41" s="61"/>
      <c r="F41" s="62"/>
      <c r="G41" s="61"/>
      <c r="H41" s="61"/>
      <c r="I41" s="61"/>
    </row>
    <row r="42" customFormat="false" ht="18.75" hidden="false" customHeight="true" outlineLevel="0" collapsed="false">
      <c r="B42" s="63"/>
      <c r="C42" s="63"/>
      <c r="D42" s="63"/>
      <c r="E42" s="63"/>
      <c r="F42" s="64"/>
      <c r="G42" s="63"/>
      <c r="H42" s="63"/>
      <c r="I42" s="63"/>
    </row>
    <row r="43" customFormat="false" ht="18.75" hidden="false" customHeight="true" outlineLevel="0" collapsed="false">
      <c r="B43" s="61"/>
      <c r="C43" s="61"/>
      <c r="D43" s="61"/>
      <c r="E43" s="61"/>
      <c r="F43" s="62"/>
      <c r="G43" s="61"/>
      <c r="H43" s="61"/>
      <c r="I43" s="61"/>
    </row>
    <row r="44" customFormat="false" ht="18.75" hidden="false" customHeight="true" outlineLevel="0" collapsed="false">
      <c r="B44" s="63"/>
      <c r="C44" s="63"/>
      <c r="D44" s="63"/>
      <c r="E44" s="63"/>
      <c r="F44" s="64"/>
      <c r="G44" s="63"/>
      <c r="H44" s="63"/>
      <c r="I44" s="63"/>
    </row>
    <row r="45" customFormat="false" ht="18.75" hidden="false" customHeight="true" outlineLevel="0" collapsed="false">
      <c r="B45" s="61"/>
      <c r="C45" s="61"/>
      <c r="D45" s="61"/>
      <c r="E45" s="61"/>
      <c r="F45" s="62"/>
      <c r="G45" s="61"/>
      <c r="H45" s="61"/>
      <c r="I45" s="61"/>
    </row>
    <row r="46" customFormat="false" ht="18.75" hidden="false" customHeight="true" outlineLevel="0" collapsed="false">
      <c r="B46" s="63"/>
      <c r="C46" s="63"/>
      <c r="D46" s="63"/>
      <c r="E46" s="63"/>
      <c r="F46" s="64"/>
      <c r="G46" s="63"/>
      <c r="H46" s="63"/>
      <c r="I46" s="63"/>
    </row>
    <row r="47" customFormat="false" ht="18.75" hidden="false" customHeight="true" outlineLevel="0" collapsed="false">
      <c r="B47" s="61"/>
      <c r="C47" s="61"/>
      <c r="D47" s="61"/>
      <c r="E47" s="61"/>
      <c r="F47" s="62"/>
      <c r="G47" s="61"/>
      <c r="H47" s="61"/>
      <c r="I47" s="61"/>
    </row>
    <row r="48" customFormat="false" ht="18.75" hidden="false" customHeight="true" outlineLevel="0" collapsed="false">
      <c r="B48" s="63"/>
      <c r="C48" s="63"/>
      <c r="D48" s="63"/>
      <c r="E48" s="63"/>
      <c r="F48" s="64"/>
      <c r="G48" s="63"/>
      <c r="H48" s="63"/>
      <c r="I48" s="63"/>
    </row>
    <row r="49" customFormat="false" ht="18.75" hidden="false" customHeight="true" outlineLevel="0" collapsed="false">
      <c r="B49" s="61"/>
      <c r="C49" s="61"/>
      <c r="D49" s="61"/>
      <c r="E49" s="61"/>
      <c r="F49" s="62"/>
      <c r="G49" s="61"/>
      <c r="H49" s="61"/>
      <c r="I49" s="61"/>
    </row>
    <row r="50" customFormat="false" ht="18.75" hidden="false" customHeight="true" outlineLevel="0" collapsed="false">
      <c r="B50" s="63"/>
      <c r="C50" s="63"/>
      <c r="D50" s="63"/>
      <c r="E50" s="63"/>
      <c r="F50" s="64"/>
      <c r="G50" s="63"/>
      <c r="H50" s="63"/>
      <c r="I50" s="63"/>
    </row>
    <row r="51" customFormat="false" ht="18.75" hidden="false" customHeight="true" outlineLevel="0" collapsed="false">
      <c r="B51" s="61"/>
      <c r="C51" s="61"/>
      <c r="D51" s="61"/>
      <c r="E51" s="61"/>
      <c r="F51" s="62"/>
      <c r="G51" s="61"/>
      <c r="H51" s="61"/>
      <c r="I51" s="61"/>
    </row>
    <row r="52" customFormat="false" ht="18.75" hidden="false" customHeight="true" outlineLevel="0" collapsed="false">
      <c r="B52" s="63"/>
      <c r="C52" s="63"/>
      <c r="D52" s="63"/>
      <c r="E52" s="63"/>
      <c r="F52" s="64"/>
      <c r="G52" s="63"/>
      <c r="H52" s="63"/>
      <c r="I52" s="63"/>
    </row>
    <row r="53" customFormat="false" ht="18.75" hidden="false" customHeight="true" outlineLevel="0" collapsed="false">
      <c r="B53" s="61"/>
      <c r="C53" s="61"/>
      <c r="D53" s="61"/>
      <c r="E53" s="61"/>
      <c r="F53" s="62"/>
      <c r="G53" s="61"/>
      <c r="H53" s="61"/>
      <c r="I53" s="61"/>
    </row>
    <row r="54" customFormat="false" ht="18.75" hidden="false" customHeight="true" outlineLevel="0" collapsed="false">
      <c r="B54" s="63"/>
      <c r="C54" s="63"/>
      <c r="D54" s="63"/>
      <c r="E54" s="63"/>
      <c r="F54" s="64"/>
      <c r="G54" s="63"/>
      <c r="H54" s="63"/>
      <c r="I54" s="63"/>
    </row>
    <row r="55" customFormat="false" ht="18.75" hidden="false" customHeight="true" outlineLevel="0" collapsed="false">
      <c r="B55" s="61"/>
      <c r="C55" s="61"/>
      <c r="D55" s="61"/>
      <c r="E55" s="61"/>
      <c r="F55" s="62"/>
      <c r="G55" s="61"/>
      <c r="H55" s="61"/>
      <c r="I55" s="61"/>
    </row>
    <row r="56" customFormat="false" ht="18.75" hidden="false" customHeight="true" outlineLevel="0" collapsed="false">
      <c r="B56" s="63"/>
      <c r="C56" s="63"/>
      <c r="D56" s="63"/>
      <c r="E56" s="63"/>
      <c r="F56" s="64"/>
      <c r="G56" s="63"/>
      <c r="H56" s="63"/>
      <c r="I56" s="63"/>
    </row>
    <row r="57" customFormat="false" ht="18.75" hidden="false" customHeight="true" outlineLevel="0" collapsed="false">
      <c r="B57" s="61"/>
      <c r="C57" s="61"/>
      <c r="D57" s="61"/>
      <c r="E57" s="61"/>
      <c r="F57" s="62"/>
      <c r="G57" s="61"/>
      <c r="H57" s="61"/>
      <c r="I57" s="61"/>
    </row>
    <row r="58" customFormat="false" ht="18.75" hidden="false" customHeight="true" outlineLevel="0" collapsed="false">
      <c r="B58" s="63"/>
      <c r="C58" s="63"/>
      <c r="D58" s="63"/>
      <c r="E58" s="63"/>
      <c r="F58" s="64"/>
      <c r="G58" s="63"/>
      <c r="H58" s="63"/>
      <c r="I58" s="63"/>
    </row>
    <row r="59" customFormat="false" ht="18.75" hidden="false" customHeight="true" outlineLevel="0" collapsed="false">
      <c r="B59" s="61"/>
      <c r="C59" s="61"/>
      <c r="D59" s="61"/>
      <c r="E59" s="61"/>
      <c r="F59" s="62"/>
      <c r="G59" s="61"/>
      <c r="H59" s="61"/>
      <c r="I59" s="61"/>
    </row>
    <row r="60" customFormat="false" ht="18.75" hidden="false" customHeight="true" outlineLevel="0" collapsed="false">
      <c r="B60" s="63"/>
      <c r="C60" s="63"/>
      <c r="D60" s="63"/>
      <c r="E60" s="63"/>
      <c r="F60" s="64"/>
      <c r="G60" s="63"/>
      <c r="H60" s="63"/>
      <c r="I60" s="63"/>
    </row>
    <row r="61" customFormat="false" ht="18.75" hidden="false" customHeight="true" outlineLevel="0" collapsed="false">
      <c r="B61" s="61"/>
      <c r="C61" s="61"/>
      <c r="D61" s="61"/>
      <c r="E61" s="61"/>
      <c r="F61" s="62"/>
      <c r="G61" s="61"/>
      <c r="H61" s="61"/>
      <c r="I61" s="61"/>
    </row>
    <row r="62" customFormat="false" ht="18.75" hidden="false" customHeight="true" outlineLevel="0" collapsed="false">
      <c r="B62" s="63"/>
      <c r="C62" s="63"/>
      <c r="D62" s="63"/>
      <c r="E62" s="63"/>
      <c r="F62" s="64"/>
      <c r="G62" s="63"/>
      <c r="H62" s="63"/>
      <c r="I62" s="63"/>
    </row>
    <row r="63" customFormat="false" ht="18.75" hidden="false" customHeight="true" outlineLevel="0" collapsed="false">
      <c r="B63" s="61"/>
      <c r="C63" s="61"/>
      <c r="D63" s="61"/>
      <c r="E63" s="61"/>
      <c r="F63" s="62"/>
      <c r="G63" s="61"/>
      <c r="H63" s="61"/>
      <c r="I63" s="61"/>
    </row>
    <row r="64" customFormat="false" ht="18.75" hidden="false" customHeight="true" outlineLevel="0" collapsed="false">
      <c r="B64" s="63"/>
      <c r="C64" s="63"/>
      <c r="D64" s="63"/>
      <c r="E64" s="63"/>
      <c r="F64" s="64"/>
      <c r="G64" s="63"/>
      <c r="H64" s="63"/>
      <c r="I64" s="63"/>
    </row>
    <row r="65" customFormat="false" ht="18.75" hidden="false" customHeight="true" outlineLevel="0" collapsed="false">
      <c r="B65" s="61"/>
      <c r="C65" s="61"/>
      <c r="D65" s="61"/>
      <c r="E65" s="61"/>
      <c r="F65" s="62"/>
      <c r="G65" s="61"/>
      <c r="H65" s="61"/>
      <c r="I65" s="61"/>
    </row>
    <row r="66" customFormat="false" ht="18.75" hidden="false" customHeight="true" outlineLevel="0" collapsed="false">
      <c r="B66" s="63"/>
      <c r="C66" s="63"/>
      <c r="D66" s="63"/>
      <c r="E66" s="63"/>
      <c r="F66" s="64"/>
      <c r="G66" s="63"/>
      <c r="H66" s="63"/>
      <c r="I66" s="63"/>
    </row>
    <row r="67" customFormat="false" ht="18.75" hidden="false" customHeight="true" outlineLevel="0" collapsed="false">
      <c r="B67" s="61"/>
      <c r="C67" s="61"/>
      <c r="D67" s="61"/>
      <c r="E67" s="61"/>
      <c r="F67" s="62"/>
      <c r="G67" s="61"/>
      <c r="H67" s="61"/>
      <c r="I67" s="61"/>
    </row>
    <row r="68" customFormat="false" ht="18.75" hidden="false" customHeight="true" outlineLevel="0" collapsed="false">
      <c r="B68" s="63"/>
      <c r="C68" s="63"/>
      <c r="D68" s="63"/>
      <c r="E68" s="63"/>
      <c r="F68" s="64"/>
      <c r="G68" s="63"/>
      <c r="H68" s="63"/>
      <c r="I68" s="63"/>
    </row>
    <row r="69" customFormat="false" ht="18.75" hidden="false" customHeight="true" outlineLevel="0" collapsed="false">
      <c r="B69" s="61"/>
      <c r="C69" s="61"/>
      <c r="D69" s="61"/>
      <c r="E69" s="61"/>
      <c r="F69" s="62"/>
      <c r="G69" s="61"/>
      <c r="H69" s="61"/>
      <c r="I69" s="61"/>
    </row>
    <row r="70" customFormat="false" ht="18.75" hidden="false" customHeight="true" outlineLevel="0" collapsed="false">
      <c r="B70" s="63"/>
      <c r="C70" s="63"/>
      <c r="D70" s="63"/>
      <c r="E70" s="63"/>
      <c r="F70" s="64"/>
      <c r="G70" s="63"/>
      <c r="H70" s="63"/>
      <c r="I70" s="63"/>
    </row>
    <row r="71" customFormat="false" ht="18.75" hidden="false" customHeight="true" outlineLevel="0" collapsed="false">
      <c r="B71" s="61"/>
      <c r="C71" s="61"/>
      <c r="D71" s="61"/>
      <c r="E71" s="61"/>
      <c r="F71" s="62"/>
      <c r="G71" s="61"/>
      <c r="H71" s="61"/>
      <c r="I71" s="61"/>
    </row>
    <row r="72" customFormat="false" ht="18.75" hidden="false" customHeight="true" outlineLevel="0" collapsed="false">
      <c r="B72" s="63"/>
      <c r="C72" s="63"/>
      <c r="D72" s="63"/>
      <c r="E72" s="63"/>
      <c r="F72" s="64"/>
      <c r="G72" s="63"/>
      <c r="H72" s="63"/>
      <c r="I72" s="63"/>
    </row>
    <row r="73" customFormat="false" ht="18.75" hidden="false" customHeight="true" outlineLevel="0" collapsed="false">
      <c r="B73" s="61"/>
      <c r="C73" s="61"/>
      <c r="D73" s="61"/>
      <c r="E73" s="61"/>
      <c r="F73" s="62"/>
      <c r="G73" s="61"/>
      <c r="H73" s="61"/>
      <c r="I73" s="61"/>
    </row>
    <row r="74" customFormat="false" ht="18.75" hidden="false" customHeight="true" outlineLevel="0" collapsed="false">
      <c r="B74" s="63"/>
      <c r="C74" s="63"/>
      <c r="D74" s="63"/>
      <c r="E74" s="63"/>
      <c r="F74" s="64"/>
      <c r="G74" s="63"/>
      <c r="H74" s="63"/>
      <c r="I74" s="63"/>
    </row>
    <row r="75" customFormat="false" ht="18.75" hidden="false" customHeight="true" outlineLevel="0" collapsed="false">
      <c r="B75" s="61"/>
      <c r="C75" s="61"/>
      <c r="D75" s="61"/>
      <c r="E75" s="61"/>
      <c r="F75" s="62"/>
      <c r="G75" s="61"/>
      <c r="H75" s="61"/>
      <c r="I75" s="61"/>
    </row>
    <row r="76" customFormat="false" ht="18.75" hidden="false" customHeight="true" outlineLevel="0" collapsed="false">
      <c r="B76" s="63"/>
      <c r="C76" s="63"/>
      <c r="D76" s="63"/>
      <c r="E76" s="63"/>
      <c r="F76" s="64"/>
      <c r="G76" s="63"/>
      <c r="H76" s="63"/>
      <c r="I76" s="63"/>
    </row>
    <row r="77" customFormat="false" ht="18.75" hidden="false" customHeight="true" outlineLevel="0" collapsed="false">
      <c r="B77" s="61"/>
      <c r="C77" s="61"/>
      <c r="D77" s="61"/>
      <c r="E77" s="61"/>
      <c r="F77" s="62"/>
      <c r="G77" s="61"/>
      <c r="H77" s="61"/>
      <c r="I77" s="61"/>
    </row>
    <row r="78" customFormat="false" ht="18.75" hidden="false" customHeight="true" outlineLevel="0" collapsed="false">
      <c r="B78" s="63"/>
      <c r="C78" s="63"/>
      <c r="D78" s="63"/>
      <c r="E78" s="63"/>
      <c r="F78" s="64"/>
      <c r="G78" s="63"/>
      <c r="H78" s="63"/>
      <c r="I78" s="63"/>
    </row>
    <row r="79" customFormat="false" ht="18.75" hidden="false" customHeight="true" outlineLevel="0" collapsed="false">
      <c r="B79" s="61"/>
      <c r="C79" s="61"/>
      <c r="D79" s="61"/>
      <c r="E79" s="61"/>
      <c r="F79" s="62"/>
      <c r="G79" s="61"/>
      <c r="H79" s="61"/>
      <c r="I79" s="61"/>
    </row>
    <row r="80" customFormat="false" ht="18.75" hidden="false" customHeight="true" outlineLevel="0" collapsed="false">
      <c r="B80" s="63"/>
      <c r="C80" s="63"/>
      <c r="D80" s="63"/>
      <c r="E80" s="63"/>
      <c r="F80" s="64"/>
      <c r="G80" s="63"/>
      <c r="H80" s="63"/>
      <c r="I80" s="63"/>
    </row>
    <row r="81" customFormat="false" ht="18.75" hidden="false" customHeight="true" outlineLevel="0" collapsed="false">
      <c r="B81" s="61"/>
      <c r="C81" s="61"/>
      <c r="D81" s="61"/>
      <c r="E81" s="61"/>
      <c r="F81" s="62"/>
      <c r="G81" s="61"/>
      <c r="H81" s="61"/>
      <c r="I81" s="61"/>
    </row>
    <row r="82" customFormat="false" ht="18.75" hidden="false" customHeight="true" outlineLevel="0" collapsed="false">
      <c r="B82" s="63"/>
      <c r="C82" s="63"/>
      <c r="D82" s="63"/>
      <c r="E82" s="63"/>
      <c r="F82" s="64"/>
      <c r="G82" s="63"/>
      <c r="H82" s="63"/>
      <c r="I82" s="63"/>
    </row>
    <row r="83" customFormat="false" ht="18.75" hidden="false" customHeight="true" outlineLevel="0" collapsed="false">
      <c r="B83" s="61"/>
      <c r="C83" s="61"/>
      <c r="D83" s="61"/>
      <c r="E83" s="61"/>
      <c r="F83" s="62"/>
      <c r="G83" s="61"/>
      <c r="H83" s="61"/>
      <c r="I83" s="61"/>
    </row>
    <row r="84" customFormat="false" ht="18.75" hidden="false" customHeight="true" outlineLevel="0" collapsed="false">
      <c r="B84" s="63"/>
      <c r="C84" s="63"/>
      <c r="D84" s="63"/>
      <c r="E84" s="63"/>
      <c r="F84" s="64"/>
      <c r="G84" s="63"/>
      <c r="H84" s="63"/>
      <c r="I84" s="63"/>
    </row>
    <row r="85" customFormat="false" ht="18.75" hidden="false" customHeight="true" outlineLevel="0" collapsed="false">
      <c r="B85" s="61"/>
      <c r="C85" s="61"/>
      <c r="D85" s="61"/>
      <c r="E85" s="61"/>
      <c r="F85" s="62"/>
      <c r="G85" s="61"/>
      <c r="H85" s="61"/>
      <c r="I85" s="61"/>
    </row>
    <row r="86" customFormat="false" ht="18.75" hidden="false" customHeight="true" outlineLevel="0" collapsed="false">
      <c r="B86" s="63"/>
      <c r="C86" s="63"/>
      <c r="D86" s="63"/>
      <c r="E86" s="63"/>
      <c r="F86" s="64"/>
      <c r="G86" s="63"/>
      <c r="H86" s="63"/>
      <c r="I86" s="63"/>
    </row>
    <row r="87" customFormat="false" ht="18.75" hidden="false" customHeight="true" outlineLevel="0" collapsed="false">
      <c r="B87" s="61"/>
      <c r="C87" s="61"/>
      <c r="D87" s="61"/>
      <c r="E87" s="61"/>
      <c r="F87" s="62"/>
      <c r="G87" s="61"/>
      <c r="H87" s="61"/>
      <c r="I87" s="61"/>
    </row>
    <row r="88" customFormat="false" ht="18.75" hidden="false" customHeight="true" outlineLevel="0" collapsed="false">
      <c r="B88" s="63"/>
      <c r="C88" s="63"/>
      <c r="D88" s="63"/>
      <c r="E88" s="63"/>
      <c r="F88" s="64"/>
      <c r="G88" s="63"/>
      <c r="H88" s="63"/>
      <c r="I88" s="63"/>
    </row>
    <row r="89" customFormat="false" ht="18.75" hidden="false" customHeight="true" outlineLevel="0" collapsed="false">
      <c r="B89" s="61"/>
      <c r="C89" s="61"/>
      <c r="D89" s="61"/>
      <c r="E89" s="61"/>
      <c r="F89" s="62"/>
      <c r="G89" s="61"/>
      <c r="H89" s="61"/>
      <c r="I89" s="61"/>
    </row>
    <row r="90" customFormat="false" ht="18.75" hidden="false" customHeight="true" outlineLevel="0" collapsed="false">
      <c r="B90" s="63"/>
      <c r="C90" s="63"/>
      <c r="D90" s="63"/>
      <c r="E90" s="63"/>
      <c r="F90" s="64"/>
      <c r="G90" s="63"/>
      <c r="H90" s="63"/>
      <c r="I90" s="63"/>
    </row>
    <row r="91" customFormat="false" ht="18.75" hidden="false" customHeight="true" outlineLevel="0" collapsed="false">
      <c r="B91" s="61"/>
      <c r="C91" s="61"/>
      <c r="D91" s="61"/>
      <c r="E91" s="61"/>
      <c r="F91" s="62"/>
      <c r="G91" s="61"/>
      <c r="H91" s="61"/>
      <c r="I91" s="61"/>
    </row>
    <row r="92" customFormat="false" ht="18.75" hidden="false" customHeight="true" outlineLevel="0" collapsed="false">
      <c r="B92" s="63"/>
      <c r="C92" s="63"/>
      <c r="D92" s="63"/>
      <c r="E92" s="63"/>
      <c r="F92" s="64"/>
      <c r="G92" s="63"/>
      <c r="H92" s="63"/>
      <c r="I92" s="63"/>
    </row>
    <row r="93" customFormat="false" ht="18.75" hidden="false" customHeight="true" outlineLevel="0" collapsed="false">
      <c r="B93" s="61"/>
      <c r="C93" s="61"/>
      <c r="D93" s="61"/>
      <c r="E93" s="61"/>
      <c r="F93" s="62"/>
      <c r="G93" s="61"/>
      <c r="H93" s="61"/>
      <c r="I93" s="61"/>
    </row>
    <row r="94" customFormat="false" ht="18.75" hidden="false" customHeight="true" outlineLevel="0" collapsed="false">
      <c r="B94" s="63"/>
      <c r="C94" s="63"/>
      <c r="D94" s="63"/>
      <c r="E94" s="63"/>
      <c r="F94" s="64"/>
      <c r="G94" s="63"/>
      <c r="H94" s="63"/>
      <c r="I94" s="63"/>
    </row>
    <row r="95" customFormat="false" ht="18.75" hidden="false" customHeight="true" outlineLevel="0" collapsed="false">
      <c r="B95" s="61"/>
      <c r="C95" s="61"/>
      <c r="D95" s="61"/>
      <c r="E95" s="61"/>
      <c r="F95" s="62"/>
      <c r="G95" s="61"/>
      <c r="H95" s="61"/>
      <c r="I95" s="61"/>
    </row>
    <row r="96" customFormat="false" ht="18.75" hidden="false" customHeight="true" outlineLevel="0" collapsed="false">
      <c r="B96" s="63"/>
      <c r="C96" s="63"/>
      <c r="D96" s="63"/>
      <c r="E96" s="63"/>
      <c r="F96" s="64"/>
      <c r="G96" s="63"/>
      <c r="H96" s="63"/>
      <c r="I96" s="63"/>
    </row>
    <row r="97" customFormat="false" ht="18.75" hidden="false" customHeight="true" outlineLevel="0" collapsed="false">
      <c r="B97" s="61"/>
      <c r="C97" s="61"/>
      <c r="D97" s="61"/>
      <c r="E97" s="61"/>
      <c r="F97" s="62"/>
      <c r="G97" s="61"/>
      <c r="H97" s="61"/>
      <c r="I97" s="61"/>
    </row>
    <row r="98" customFormat="false" ht="18.75" hidden="false" customHeight="true" outlineLevel="0" collapsed="false">
      <c r="B98" s="63"/>
      <c r="C98" s="63"/>
      <c r="D98" s="63"/>
      <c r="E98" s="63"/>
      <c r="F98" s="64"/>
      <c r="G98" s="63"/>
      <c r="H98" s="63"/>
      <c r="I98" s="63"/>
    </row>
    <row r="99" customFormat="false" ht="18.75" hidden="false" customHeight="true" outlineLevel="0" collapsed="false">
      <c r="B99" s="61"/>
      <c r="C99" s="61"/>
      <c r="D99" s="61"/>
      <c r="E99" s="61"/>
      <c r="F99" s="62"/>
      <c r="G99" s="61"/>
      <c r="H99" s="61"/>
      <c r="I99" s="61"/>
    </row>
    <row r="100" customFormat="false" ht="18.75" hidden="false" customHeight="true" outlineLevel="0" collapsed="false">
      <c r="B100" s="63"/>
      <c r="C100" s="63"/>
      <c r="D100" s="63"/>
      <c r="E100" s="63"/>
      <c r="F100" s="64"/>
      <c r="G100" s="63"/>
      <c r="H100" s="63"/>
      <c r="I100" s="63"/>
    </row>
    <row r="101" customFormat="false" ht="18.75" hidden="false" customHeight="true" outlineLevel="0" collapsed="false">
      <c r="B101" s="61"/>
      <c r="C101" s="61"/>
      <c r="D101" s="61"/>
      <c r="E101" s="61"/>
      <c r="F101" s="62"/>
      <c r="G101" s="61"/>
      <c r="H101" s="61"/>
      <c r="I101" s="61"/>
    </row>
    <row r="102" customFormat="false" ht="18.75" hidden="false" customHeight="true" outlineLevel="0" collapsed="false">
      <c r="B102" s="63"/>
      <c r="C102" s="63"/>
      <c r="D102" s="63"/>
      <c r="E102" s="63"/>
      <c r="F102" s="64"/>
      <c r="G102" s="63"/>
      <c r="H102" s="63"/>
      <c r="I102" s="63"/>
    </row>
    <row r="103" customFormat="false" ht="18.75" hidden="false" customHeight="true" outlineLevel="0" collapsed="false">
      <c r="B103" s="61"/>
      <c r="C103" s="61"/>
      <c r="D103" s="61"/>
      <c r="E103" s="61"/>
      <c r="F103" s="62"/>
      <c r="G103" s="61"/>
      <c r="H103" s="61"/>
      <c r="I103" s="61"/>
    </row>
    <row r="104" customFormat="false" ht="18.75" hidden="false" customHeight="true" outlineLevel="0" collapsed="false">
      <c r="B104" s="63"/>
      <c r="C104" s="63"/>
      <c r="D104" s="63"/>
      <c r="E104" s="63"/>
      <c r="F104" s="64"/>
      <c r="G104" s="63"/>
      <c r="H104" s="63"/>
      <c r="I104" s="63"/>
    </row>
    <row r="105" customFormat="false" ht="18.75" hidden="false" customHeight="true" outlineLevel="0" collapsed="false">
      <c r="B105" s="61"/>
      <c r="C105" s="61"/>
      <c r="D105" s="61"/>
      <c r="E105" s="61"/>
      <c r="F105" s="62"/>
      <c r="G105" s="61"/>
      <c r="H105" s="61"/>
      <c r="I105" s="61"/>
    </row>
    <row r="106" customFormat="false" ht="18.75" hidden="false" customHeight="true" outlineLevel="0" collapsed="false">
      <c r="B106" s="63"/>
      <c r="C106" s="63"/>
      <c r="D106" s="63"/>
      <c r="E106" s="63"/>
      <c r="F106" s="64"/>
      <c r="G106" s="63"/>
      <c r="H106" s="63"/>
      <c r="I106" s="63"/>
    </row>
    <row r="107" customFormat="false" ht="18.75" hidden="false" customHeight="true" outlineLevel="0" collapsed="false">
      <c r="B107" s="61"/>
      <c r="C107" s="61"/>
      <c r="D107" s="61"/>
      <c r="E107" s="61"/>
      <c r="F107" s="62"/>
      <c r="G107" s="61"/>
      <c r="H107" s="61"/>
      <c r="I107" s="61"/>
    </row>
    <row r="108" customFormat="false" ht="18.75" hidden="false" customHeight="true" outlineLevel="0" collapsed="false">
      <c r="B108" s="65" t="s">
        <v>96</v>
      </c>
      <c r="C108" s="65"/>
      <c r="D108" s="65"/>
      <c r="E108" s="65"/>
      <c r="F108" s="66" t="n">
        <f aca="false">SUM(E8:E107)</f>
        <v>0</v>
      </c>
    </row>
    <row r="109" customFormat="false" ht="18.75" hidden="false" customHeight="true" outlineLevel="0" collapsed="false"/>
    <row r="110" customFormat="false" ht="18.75" hidden="false" customHeight="true" outlineLevel="0" collapsed="false">
      <c r="B110" s="67" t="s">
        <v>97</v>
      </c>
      <c r="C110" s="67"/>
      <c r="D110" s="67"/>
      <c r="E110" s="67"/>
      <c r="F110" s="67"/>
      <c r="G110" s="67"/>
      <c r="H110" s="67"/>
    </row>
    <row r="111" customFormat="false" ht="18.75" hidden="false" customHeight="true" outlineLevel="0" collapsed="false"/>
    <row r="112" customFormat="false" ht="18.75" hidden="false" customHeight="true" outlineLevel="0" collapsed="false"/>
    <row r="113" customFormat="false" ht="18.75" hidden="false" customHeight="true" outlineLevel="0" collapsed="false"/>
    <row r="114" customFormat="false" ht="18.75" hidden="false" customHeight="true" outlineLevel="0" collapsed="false"/>
    <row r="115" customFormat="false" ht="18.75" hidden="false" customHeight="true" outlineLevel="0" collapsed="false"/>
    <row r="116" customFormat="false" ht="18.75" hidden="false" customHeight="true" outlineLevel="0" collapsed="false"/>
    <row r="117" customFormat="false" ht="18.75" hidden="false" customHeight="true" outlineLevel="0" collapsed="false"/>
    <row r="118" customFormat="false" ht="18.75" hidden="false" customHeight="true" outlineLevel="0" collapsed="false"/>
    <row r="119" customFormat="false" ht="18.75" hidden="false" customHeight="true" outlineLevel="0" collapsed="false"/>
  </sheetData>
  <mergeCells count="9">
    <mergeCell ref="B1:H2"/>
    <mergeCell ref="B4:C4"/>
    <mergeCell ref="D4:E4"/>
    <mergeCell ref="F4:G4"/>
    <mergeCell ref="B5:C5"/>
    <mergeCell ref="D5:E5"/>
    <mergeCell ref="F5:G5"/>
    <mergeCell ref="B108:E108"/>
    <mergeCell ref="B110:H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4"/>
  </cols>
  <sheetData>
    <row r="1" customFormat="false" ht="18.75" hidden="false" customHeight="true" outlineLevel="0" collapsed="false">
      <c r="B1" s="48" t="s">
        <v>143</v>
      </c>
      <c r="C1" s="48"/>
      <c r="D1" s="48"/>
      <c r="E1" s="48"/>
      <c r="F1" s="48"/>
      <c r="G1" s="48"/>
      <c r="H1" s="48"/>
    </row>
    <row r="2" customFormat="false" ht="18.75" hidden="false" customHeight="true" outlineLevel="0" collapsed="false">
      <c r="B2" s="48"/>
      <c r="C2" s="48"/>
      <c r="D2" s="48"/>
      <c r="E2" s="48"/>
      <c r="F2" s="48"/>
      <c r="G2" s="48"/>
      <c r="H2" s="48"/>
    </row>
    <row r="3" customFormat="false" ht="18.75" hidden="false" customHeight="true" outlineLevel="0" collapsed="false"/>
    <row r="4" customFormat="false" ht="18.75" hidden="false" customHeight="true" outlineLevel="0" collapsed="false">
      <c r="B4" s="49" t="s">
        <v>51</v>
      </c>
      <c r="C4" s="49"/>
      <c r="D4" s="50" t="s">
        <v>52</v>
      </c>
      <c r="E4" s="50"/>
      <c r="F4" s="51" t="s">
        <v>53</v>
      </c>
      <c r="G4" s="51"/>
    </row>
    <row r="5" customFormat="false" ht="18.75" hidden="false" customHeight="true" outlineLevel="0" collapsed="false">
      <c r="B5" s="52" t="n">
        <f aca="false">SUMIF(C8:C107,"Receita",E8:E107)</f>
        <v>0</v>
      </c>
      <c r="C5" s="52"/>
      <c r="D5" s="53" t="n">
        <f aca="false">SUMIF(C8:C107,"Despesa",E8:E107)</f>
        <v>0</v>
      </c>
      <c r="E5" s="53"/>
      <c r="F5" s="54" t="n">
        <f aca="false">B5-D5</f>
        <v>0</v>
      </c>
      <c r="G5" s="54"/>
    </row>
    <row r="6" customFormat="false" ht="18.75" hidden="false" customHeight="true" outlineLevel="0" collapsed="false"/>
    <row r="7" customFormat="false" ht="18.75" hidden="false" customHeight="true" outlineLevel="0" collapsed="false">
      <c r="B7" s="24" t="s">
        <v>54</v>
      </c>
      <c r="C7" s="24" t="s">
        <v>55</v>
      </c>
      <c r="D7" s="24" t="s">
        <v>20</v>
      </c>
      <c r="E7" s="24" t="s">
        <v>19</v>
      </c>
      <c r="F7" s="24" t="s">
        <v>56</v>
      </c>
      <c r="G7" s="24" t="s">
        <v>25</v>
      </c>
      <c r="H7" s="24" t="s">
        <v>57</v>
      </c>
      <c r="I7" s="24" t="s">
        <v>58</v>
      </c>
    </row>
    <row r="8" customFormat="false" ht="18.75" hidden="false" customHeight="true" outlineLevel="0" collapsed="false">
      <c r="B8" s="55" t="s">
        <v>144</v>
      </c>
      <c r="C8" s="56" t="s">
        <v>60</v>
      </c>
      <c r="D8" s="55" t="s">
        <v>61</v>
      </c>
      <c r="E8" s="55" t="s">
        <v>62</v>
      </c>
      <c r="F8" s="57" t="n">
        <v>3500</v>
      </c>
      <c r="G8" s="55" t="s">
        <v>63</v>
      </c>
      <c r="H8" s="55" t="s">
        <v>64</v>
      </c>
      <c r="I8" s="55" t="s">
        <v>65</v>
      </c>
    </row>
    <row r="9" customFormat="false" ht="18.75" hidden="false" customHeight="true" outlineLevel="0" collapsed="false">
      <c r="B9" s="58" t="s">
        <v>144</v>
      </c>
      <c r="C9" s="59" t="s">
        <v>66</v>
      </c>
      <c r="D9" s="58" t="s">
        <v>61</v>
      </c>
      <c r="E9" s="58" t="s">
        <v>62</v>
      </c>
      <c r="F9" s="60" t="n">
        <v>500</v>
      </c>
      <c r="G9" s="58" t="s">
        <v>63</v>
      </c>
      <c r="H9" s="58" t="s">
        <v>67</v>
      </c>
      <c r="I9" s="58" t="s">
        <v>68</v>
      </c>
    </row>
    <row r="10" customFormat="false" ht="18.75" hidden="false" customHeight="true" outlineLevel="0" collapsed="false">
      <c r="B10" s="55" t="s">
        <v>145</v>
      </c>
      <c r="C10" s="56" t="s">
        <v>70</v>
      </c>
      <c r="D10" s="55" t="s">
        <v>71</v>
      </c>
      <c r="E10" s="55" t="s">
        <v>26</v>
      </c>
      <c r="F10" s="57" t="n">
        <v>1200</v>
      </c>
      <c r="G10" s="55" t="s">
        <v>72</v>
      </c>
      <c r="H10" s="55" t="s">
        <v>73</v>
      </c>
      <c r="I10" s="55" t="s">
        <v>74</v>
      </c>
    </row>
    <row r="11" customFormat="false" ht="18.75" hidden="false" customHeight="true" outlineLevel="0" collapsed="false">
      <c r="B11" s="58" t="s">
        <v>146</v>
      </c>
      <c r="C11" s="59" t="s">
        <v>76</v>
      </c>
      <c r="D11" s="58" t="s">
        <v>71</v>
      </c>
      <c r="E11" s="58" t="s">
        <v>30</v>
      </c>
      <c r="F11" s="60" t="n">
        <v>450</v>
      </c>
      <c r="G11" s="58" t="s">
        <v>72</v>
      </c>
      <c r="H11" s="58" t="s">
        <v>77</v>
      </c>
      <c r="I11" s="58" t="s">
        <v>78</v>
      </c>
    </row>
    <row r="12" customFormat="false" ht="18.75" hidden="false" customHeight="true" outlineLevel="0" collapsed="false">
      <c r="B12" s="55" t="s">
        <v>147</v>
      </c>
      <c r="C12" s="56" t="s">
        <v>80</v>
      </c>
      <c r="D12" s="55" t="s">
        <v>71</v>
      </c>
      <c r="E12" s="55" t="s">
        <v>28</v>
      </c>
      <c r="F12" s="57" t="n">
        <v>150</v>
      </c>
      <c r="G12" s="55" t="s">
        <v>72</v>
      </c>
      <c r="H12" s="55" t="s">
        <v>81</v>
      </c>
      <c r="I12" s="55"/>
    </row>
    <row r="13" customFormat="false" ht="18.75" hidden="false" customHeight="true" outlineLevel="0" collapsed="false">
      <c r="B13" s="58" t="s">
        <v>148</v>
      </c>
      <c r="C13" s="59" t="s">
        <v>83</v>
      </c>
      <c r="D13" s="58" t="s">
        <v>71</v>
      </c>
      <c r="E13" s="58" t="s">
        <v>29</v>
      </c>
      <c r="F13" s="60" t="n">
        <v>200</v>
      </c>
      <c r="G13" s="58" t="s">
        <v>72</v>
      </c>
      <c r="H13" s="58" t="s">
        <v>84</v>
      </c>
      <c r="I13" s="58"/>
    </row>
    <row r="14" customFormat="false" ht="18.75" hidden="false" customHeight="true" outlineLevel="0" collapsed="false">
      <c r="B14" s="55" t="s">
        <v>149</v>
      </c>
      <c r="C14" s="56" t="s">
        <v>86</v>
      </c>
      <c r="D14" s="55" t="s">
        <v>71</v>
      </c>
      <c r="E14" s="55" t="s">
        <v>38</v>
      </c>
      <c r="F14" s="57" t="n">
        <v>500</v>
      </c>
      <c r="G14" s="55" t="s">
        <v>72</v>
      </c>
      <c r="H14" s="55" t="s">
        <v>87</v>
      </c>
      <c r="I14" s="55" t="s">
        <v>88</v>
      </c>
    </row>
    <row r="15" customFormat="false" ht="18.75" hidden="false" customHeight="true" outlineLevel="0" collapsed="false">
      <c r="B15" s="58" t="s">
        <v>150</v>
      </c>
      <c r="C15" s="59" t="s">
        <v>90</v>
      </c>
      <c r="D15" s="58" t="s">
        <v>71</v>
      </c>
      <c r="E15" s="58" t="s">
        <v>32</v>
      </c>
      <c r="F15" s="60" t="n">
        <v>100</v>
      </c>
      <c r="G15" s="58" t="s">
        <v>91</v>
      </c>
      <c r="H15" s="58" t="s">
        <v>92</v>
      </c>
      <c r="I15" s="58"/>
    </row>
    <row r="16" customFormat="false" ht="18.75" hidden="false" customHeight="true" outlineLevel="0" collapsed="false">
      <c r="B16" s="55" t="s">
        <v>151</v>
      </c>
      <c r="C16" s="56" t="s">
        <v>94</v>
      </c>
      <c r="D16" s="55" t="s">
        <v>71</v>
      </c>
      <c r="E16" s="55" t="s">
        <v>36</v>
      </c>
      <c r="F16" s="57" t="n">
        <v>60</v>
      </c>
      <c r="G16" s="55" t="s">
        <v>91</v>
      </c>
      <c r="H16" s="55" t="s">
        <v>95</v>
      </c>
      <c r="I16" s="55"/>
    </row>
    <row r="17" customFormat="false" ht="18.75" hidden="false" customHeight="true" outlineLevel="0" collapsed="false">
      <c r="B17" s="61"/>
      <c r="C17" s="61"/>
      <c r="D17" s="61"/>
      <c r="E17" s="61"/>
      <c r="F17" s="62"/>
      <c r="G17" s="61"/>
      <c r="H17" s="61"/>
      <c r="I17" s="61"/>
    </row>
    <row r="18" customFormat="false" ht="18.75" hidden="false" customHeight="true" outlineLevel="0" collapsed="false">
      <c r="B18" s="63"/>
      <c r="C18" s="63"/>
      <c r="D18" s="63"/>
      <c r="E18" s="63"/>
      <c r="F18" s="64"/>
      <c r="G18" s="63"/>
      <c r="H18" s="63"/>
      <c r="I18" s="63"/>
    </row>
    <row r="19" customFormat="false" ht="18.75" hidden="false" customHeight="true" outlineLevel="0" collapsed="false">
      <c r="B19" s="61"/>
      <c r="C19" s="61"/>
      <c r="D19" s="61"/>
      <c r="E19" s="61"/>
      <c r="F19" s="62"/>
      <c r="G19" s="61"/>
      <c r="H19" s="61"/>
      <c r="I19" s="61"/>
    </row>
    <row r="20" customFormat="false" ht="18.75" hidden="false" customHeight="true" outlineLevel="0" collapsed="false">
      <c r="B20" s="63"/>
      <c r="C20" s="63"/>
      <c r="D20" s="63"/>
      <c r="E20" s="63"/>
      <c r="F20" s="64"/>
      <c r="G20" s="63"/>
      <c r="H20" s="63"/>
      <c r="I20" s="63"/>
    </row>
    <row r="21" customFormat="false" ht="18.75" hidden="false" customHeight="true" outlineLevel="0" collapsed="false">
      <c r="B21" s="61"/>
      <c r="C21" s="61"/>
      <c r="D21" s="61"/>
      <c r="E21" s="61"/>
      <c r="F21" s="62"/>
      <c r="G21" s="61"/>
      <c r="H21" s="61"/>
      <c r="I21" s="61"/>
    </row>
    <row r="22" customFormat="false" ht="18.75" hidden="false" customHeight="true" outlineLevel="0" collapsed="false">
      <c r="B22" s="63"/>
      <c r="C22" s="63"/>
      <c r="D22" s="63"/>
      <c r="E22" s="63"/>
      <c r="F22" s="64"/>
      <c r="G22" s="63"/>
      <c r="H22" s="63"/>
      <c r="I22" s="63"/>
    </row>
    <row r="23" customFormat="false" ht="18.75" hidden="false" customHeight="true" outlineLevel="0" collapsed="false">
      <c r="B23" s="61"/>
      <c r="C23" s="61"/>
      <c r="D23" s="61"/>
      <c r="E23" s="61"/>
      <c r="F23" s="62"/>
      <c r="G23" s="61"/>
      <c r="H23" s="61"/>
      <c r="I23" s="61"/>
    </row>
    <row r="24" customFormat="false" ht="18.75" hidden="false" customHeight="true" outlineLevel="0" collapsed="false">
      <c r="B24" s="63"/>
      <c r="C24" s="63"/>
      <c r="D24" s="63"/>
      <c r="E24" s="63"/>
      <c r="F24" s="64"/>
      <c r="G24" s="63"/>
      <c r="H24" s="63"/>
      <c r="I24" s="63"/>
    </row>
    <row r="25" customFormat="false" ht="18.75" hidden="false" customHeight="true" outlineLevel="0" collapsed="false">
      <c r="B25" s="61"/>
      <c r="C25" s="61"/>
      <c r="D25" s="61"/>
      <c r="E25" s="61"/>
      <c r="F25" s="62"/>
      <c r="G25" s="61"/>
      <c r="H25" s="61"/>
      <c r="I25" s="61"/>
    </row>
    <row r="26" customFormat="false" ht="18.75" hidden="false" customHeight="true" outlineLevel="0" collapsed="false">
      <c r="B26" s="63"/>
      <c r="C26" s="63"/>
      <c r="D26" s="63"/>
      <c r="E26" s="63"/>
      <c r="F26" s="64"/>
      <c r="G26" s="63"/>
      <c r="H26" s="63"/>
      <c r="I26" s="63"/>
    </row>
    <row r="27" customFormat="false" ht="18.75" hidden="false" customHeight="true" outlineLevel="0" collapsed="false">
      <c r="B27" s="61"/>
      <c r="C27" s="61"/>
      <c r="D27" s="61"/>
      <c r="E27" s="61"/>
      <c r="F27" s="62"/>
      <c r="G27" s="61"/>
      <c r="H27" s="61"/>
      <c r="I27" s="61"/>
    </row>
    <row r="28" customFormat="false" ht="18.75" hidden="false" customHeight="true" outlineLevel="0" collapsed="false">
      <c r="B28" s="63"/>
      <c r="C28" s="63"/>
      <c r="D28" s="63"/>
      <c r="E28" s="63"/>
      <c r="F28" s="64"/>
      <c r="G28" s="63"/>
      <c r="H28" s="63"/>
      <c r="I28" s="63"/>
    </row>
    <row r="29" customFormat="false" ht="18.75" hidden="false" customHeight="true" outlineLevel="0" collapsed="false">
      <c r="B29" s="61"/>
      <c r="C29" s="61"/>
      <c r="D29" s="61"/>
      <c r="E29" s="61"/>
      <c r="F29" s="62"/>
      <c r="G29" s="61"/>
      <c r="H29" s="61"/>
      <c r="I29" s="61"/>
    </row>
    <row r="30" customFormat="false" ht="18.75" hidden="false" customHeight="true" outlineLevel="0" collapsed="false">
      <c r="B30" s="63"/>
      <c r="C30" s="63"/>
      <c r="D30" s="63"/>
      <c r="E30" s="63"/>
      <c r="F30" s="64"/>
      <c r="G30" s="63"/>
      <c r="H30" s="63"/>
      <c r="I30" s="63"/>
    </row>
    <row r="31" customFormat="false" ht="18.75" hidden="false" customHeight="true" outlineLevel="0" collapsed="false">
      <c r="B31" s="61"/>
      <c r="C31" s="61"/>
      <c r="D31" s="61"/>
      <c r="E31" s="61"/>
      <c r="F31" s="62"/>
      <c r="G31" s="61"/>
      <c r="H31" s="61"/>
      <c r="I31" s="61"/>
    </row>
    <row r="32" customFormat="false" ht="18.75" hidden="false" customHeight="true" outlineLevel="0" collapsed="false">
      <c r="B32" s="63"/>
      <c r="C32" s="63"/>
      <c r="D32" s="63"/>
      <c r="E32" s="63"/>
      <c r="F32" s="64"/>
      <c r="G32" s="63"/>
      <c r="H32" s="63"/>
      <c r="I32" s="63"/>
    </row>
    <row r="33" customFormat="false" ht="18.75" hidden="false" customHeight="true" outlineLevel="0" collapsed="false">
      <c r="B33" s="61"/>
      <c r="C33" s="61"/>
      <c r="D33" s="61"/>
      <c r="E33" s="61"/>
      <c r="F33" s="62"/>
      <c r="G33" s="61"/>
      <c r="H33" s="61"/>
      <c r="I33" s="61"/>
    </row>
    <row r="34" customFormat="false" ht="18.75" hidden="false" customHeight="true" outlineLevel="0" collapsed="false">
      <c r="B34" s="63"/>
      <c r="C34" s="63"/>
      <c r="D34" s="63"/>
      <c r="E34" s="63"/>
      <c r="F34" s="64"/>
      <c r="G34" s="63"/>
      <c r="H34" s="63"/>
      <c r="I34" s="63"/>
    </row>
    <row r="35" customFormat="false" ht="18.75" hidden="false" customHeight="true" outlineLevel="0" collapsed="false">
      <c r="B35" s="61"/>
      <c r="C35" s="61"/>
      <c r="D35" s="61"/>
      <c r="E35" s="61"/>
      <c r="F35" s="62"/>
      <c r="G35" s="61"/>
      <c r="H35" s="61"/>
      <c r="I35" s="61"/>
    </row>
    <row r="36" customFormat="false" ht="18.75" hidden="false" customHeight="true" outlineLevel="0" collapsed="false">
      <c r="B36" s="63"/>
      <c r="C36" s="63"/>
      <c r="D36" s="63"/>
      <c r="E36" s="63"/>
      <c r="F36" s="64"/>
      <c r="G36" s="63"/>
      <c r="H36" s="63"/>
      <c r="I36" s="63"/>
    </row>
    <row r="37" customFormat="false" ht="18.75" hidden="false" customHeight="true" outlineLevel="0" collapsed="false">
      <c r="B37" s="61"/>
      <c r="C37" s="61"/>
      <c r="D37" s="61"/>
      <c r="E37" s="61"/>
      <c r="F37" s="62"/>
      <c r="G37" s="61"/>
      <c r="H37" s="61"/>
      <c r="I37" s="61"/>
    </row>
    <row r="38" customFormat="false" ht="18.75" hidden="false" customHeight="true" outlineLevel="0" collapsed="false">
      <c r="B38" s="63"/>
      <c r="C38" s="63"/>
      <c r="D38" s="63"/>
      <c r="E38" s="63"/>
      <c r="F38" s="64"/>
      <c r="G38" s="63"/>
      <c r="H38" s="63"/>
      <c r="I38" s="63"/>
    </row>
    <row r="39" customFormat="false" ht="18.75" hidden="false" customHeight="true" outlineLevel="0" collapsed="false">
      <c r="B39" s="61"/>
      <c r="C39" s="61"/>
      <c r="D39" s="61"/>
      <c r="E39" s="61"/>
      <c r="F39" s="62"/>
      <c r="G39" s="61"/>
      <c r="H39" s="61"/>
      <c r="I39" s="61"/>
    </row>
    <row r="40" customFormat="false" ht="18.75" hidden="false" customHeight="true" outlineLevel="0" collapsed="false">
      <c r="B40" s="63"/>
      <c r="C40" s="63"/>
      <c r="D40" s="63"/>
      <c r="E40" s="63"/>
      <c r="F40" s="64"/>
      <c r="G40" s="63"/>
      <c r="H40" s="63"/>
      <c r="I40" s="63"/>
    </row>
    <row r="41" customFormat="false" ht="18.75" hidden="false" customHeight="true" outlineLevel="0" collapsed="false">
      <c r="B41" s="61"/>
      <c r="C41" s="61"/>
      <c r="D41" s="61"/>
      <c r="E41" s="61"/>
      <c r="F41" s="62"/>
      <c r="G41" s="61"/>
      <c r="H41" s="61"/>
      <c r="I41" s="61"/>
    </row>
    <row r="42" customFormat="false" ht="18.75" hidden="false" customHeight="true" outlineLevel="0" collapsed="false">
      <c r="B42" s="63"/>
      <c r="C42" s="63"/>
      <c r="D42" s="63"/>
      <c r="E42" s="63"/>
      <c r="F42" s="64"/>
      <c r="G42" s="63"/>
      <c r="H42" s="63"/>
      <c r="I42" s="63"/>
    </row>
    <row r="43" customFormat="false" ht="18.75" hidden="false" customHeight="true" outlineLevel="0" collapsed="false">
      <c r="B43" s="61"/>
      <c r="C43" s="61"/>
      <c r="D43" s="61"/>
      <c r="E43" s="61"/>
      <c r="F43" s="62"/>
      <c r="G43" s="61"/>
      <c r="H43" s="61"/>
      <c r="I43" s="61"/>
    </row>
    <row r="44" customFormat="false" ht="18.75" hidden="false" customHeight="true" outlineLevel="0" collapsed="false">
      <c r="B44" s="63"/>
      <c r="C44" s="63"/>
      <c r="D44" s="63"/>
      <c r="E44" s="63"/>
      <c r="F44" s="64"/>
      <c r="G44" s="63"/>
      <c r="H44" s="63"/>
      <c r="I44" s="63"/>
    </row>
    <row r="45" customFormat="false" ht="18.75" hidden="false" customHeight="true" outlineLevel="0" collapsed="false">
      <c r="B45" s="61"/>
      <c r="C45" s="61"/>
      <c r="D45" s="61"/>
      <c r="E45" s="61"/>
      <c r="F45" s="62"/>
      <c r="G45" s="61"/>
      <c r="H45" s="61"/>
      <c r="I45" s="61"/>
    </row>
    <row r="46" customFormat="false" ht="18.75" hidden="false" customHeight="true" outlineLevel="0" collapsed="false">
      <c r="B46" s="63"/>
      <c r="C46" s="63"/>
      <c r="D46" s="63"/>
      <c r="E46" s="63"/>
      <c r="F46" s="64"/>
      <c r="G46" s="63"/>
      <c r="H46" s="63"/>
      <c r="I46" s="63"/>
    </row>
    <row r="47" customFormat="false" ht="18.75" hidden="false" customHeight="true" outlineLevel="0" collapsed="false">
      <c r="B47" s="61"/>
      <c r="C47" s="61"/>
      <c r="D47" s="61"/>
      <c r="E47" s="61"/>
      <c r="F47" s="62"/>
      <c r="G47" s="61"/>
      <c r="H47" s="61"/>
      <c r="I47" s="61"/>
    </row>
    <row r="48" customFormat="false" ht="18.75" hidden="false" customHeight="true" outlineLevel="0" collapsed="false">
      <c r="B48" s="63"/>
      <c r="C48" s="63"/>
      <c r="D48" s="63"/>
      <c r="E48" s="63"/>
      <c r="F48" s="64"/>
      <c r="G48" s="63"/>
      <c r="H48" s="63"/>
      <c r="I48" s="63"/>
    </row>
    <row r="49" customFormat="false" ht="18.75" hidden="false" customHeight="true" outlineLevel="0" collapsed="false">
      <c r="B49" s="61"/>
      <c r="C49" s="61"/>
      <c r="D49" s="61"/>
      <c r="E49" s="61"/>
      <c r="F49" s="62"/>
      <c r="G49" s="61"/>
      <c r="H49" s="61"/>
      <c r="I49" s="61"/>
    </row>
    <row r="50" customFormat="false" ht="18.75" hidden="false" customHeight="true" outlineLevel="0" collapsed="false">
      <c r="B50" s="63"/>
      <c r="C50" s="63"/>
      <c r="D50" s="63"/>
      <c r="E50" s="63"/>
      <c r="F50" s="64"/>
      <c r="G50" s="63"/>
      <c r="H50" s="63"/>
      <c r="I50" s="63"/>
    </row>
    <row r="51" customFormat="false" ht="18.75" hidden="false" customHeight="true" outlineLevel="0" collapsed="false">
      <c r="B51" s="61"/>
      <c r="C51" s="61"/>
      <c r="D51" s="61"/>
      <c r="E51" s="61"/>
      <c r="F51" s="62"/>
      <c r="G51" s="61"/>
      <c r="H51" s="61"/>
      <c r="I51" s="61"/>
    </row>
    <row r="52" customFormat="false" ht="18.75" hidden="false" customHeight="true" outlineLevel="0" collapsed="false">
      <c r="B52" s="63"/>
      <c r="C52" s="63"/>
      <c r="D52" s="63"/>
      <c r="E52" s="63"/>
      <c r="F52" s="64"/>
      <c r="G52" s="63"/>
      <c r="H52" s="63"/>
      <c r="I52" s="63"/>
    </row>
    <row r="53" customFormat="false" ht="18.75" hidden="false" customHeight="true" outlineLevel="0" collapsed="false">
      <c r="B53" s="61"/>
      <c r="C53" s="61"/>
      <c r="D53" s="61"/>
      <c r="E53" s="61"/>
      <c r="F53" s="62"/>
      <c r="G53" s="61"/>
      <c r="H53" s="61"/>
      <c r="I53" s="61"/>
    </row>
    <row r="54" customFormat="false" ht="18.75" hidden="false" customHeight="true" outlineLevel="0" collapsed="false">
      <c r="B54" s="63"/>
      <c r="C54" s="63"/>
      <c r="D54" s="63"/>
      <c r="E54" s="63"/>
      <c r="F54" s="64"/>
      <c r="G54" s="63"/>
      <c r="H54" s="63"/>
      <c r="I54" s="63"/>
    </row>
    <row r="55" customFormat="false" ht="18.75" hidden="false" customHeight="true" outlineLevel="0" collapsed="false">
      <c r="B55" s="61"/>
      <c r="C55" s="61"/>
      <c r="D55" s="61"/>
      <c r="E55" s="61"/>
      <c r="F55" s="62"/>
      <c r="G55" s="61"/>
      <c r="H55" s="61"/>
      <c r="I55" s="61"/>
    </row>
    <row r="56" customFormat="false" ht="18.75" hidden="false" customHeight="true" outlineLevel="0" collapsed="false">
      <c r="B56" s="63"/>
      <c r="C56" s="63"/>
      <c r="D56" s="63"/>
      <c r="E56" s="63"/>
      <c r="F56" s="64"/>
      <c r="G56" s="63"/>
      <c r="H56" s="63"/>
      <c r="I56" s="63"/>
    </row>
    <row r="57" customFormat="false" ht="18.75" hidden="false" customHeight="true" outlineLevel="0" collapsed="false">
      <c r="B57" s="61"/>
      <c r="C57" s="61"/>
      <c r="D57" s="61"/>
      <c r="E57" s="61"/>
      <c r="F57" s="62"/>
      <c r="G57" s="61"/>
      <c r="H57" s="61"/>
      <c r="I57" s="61"/>
    </row>
    <row r="58" customFormat="false" ht="18.75" hidden="false" customHeight="true" outlineLevel="0" collapsed="false">
      <c r="B58" s="63"/>
      <c r="C58" s="63"/>
      <c r="D58" s="63"/>
      <c r="E58" s="63"/>
      <c r="F58" s="64"/>
      <c r="G58" s="63"/>
      <c r="H58" s="63"/>
      <c r="I58" s="63"/>
    </row>
    <row r="59" customFormat="false" ht="18.75" hidden="false" customHeight="true" outlineLevel="0" collapsed="false">
      <c r="B59" s="61"/>
      <c r="C59" s="61"/>
      <c r="D59" s="61"/>
      <c r="E59" s="61"/>
      <c r="F59" s="62"/>
      <c r="G59" s="61"/>
      <c r="H59" s="61"/>
      <c r="I59" s="61"/>
    </row>
    <row r="60" customFormat="false" ht="18.75" hidden="false" customHeight="true" outlineLevel="0" collapsed="false">
      <c r="B60" s="63"/>
      <c r="C60" s="63"/>
      <c r="D60" s="63"/>
      <c r="E60" s="63"/>
      <c r="F60" s="64"/>
      <c r="G60" s="63"/>
      <c r="H60" s="63"/>
      <c r="I60" s="63"/>
    </row>
    <row r="61" customFormat="false" ht="18.75" hidden="false" customHeight="true" outlineLevel="0" collapsed="false">
      <c r="B61" s="61"/>
      <c r="C61" s="61"/>
      <c r="D61" s="61"/>
      <c r="E61" s="61"/>
      <c r="F61" s="62"/>
      <c r="G61" s="61"/>
      <c r="H61" s="61"/>
      <c r="I61" s="61"/>
    </row>
    <row r="62" customFormat="false" ht="18.75" hidden="false" customHeight="true" outlineLevel="0" collapsed="false">
      <c r="B62" s="63"/>
      <c r="C62" s="63"/>
      <c r="D62" s="63"/>
      <c r="E62" s="63"/>
      <c r="F62" s="64"/>
      <c r="G62" s="63"/>
      <c r="H62" s="63"/>
      <c r="I62" s="63"/>
    </row>
    <row r="63" customFormat="false" ht="18.75" hidden="false" customHeight="true" outlineLevel="0" collapsed="false">
      <c r="B63" s="61"/>
      <c r="C63" s="61"/>
      <c r="D63" s="61"/>
      <c r="E63" s="61"/>
      <c r="F63" s="62"/>
      <c r="G63" s="61"/>
      <c r="H63" s="61"/>
      <c r="I63" s="61"/>
    </row>
    <row r="64" customFormat="false" ht="18.75" hidden="false" customHeight="true" outlineLevel="0" collapsed="false">
      <c r="B64" s="63"/>
      <c r="C64" s="63"/>
      <c r="D64" s="63"/>
      <c r="E64" s="63"/>
      <c r="F64" s="64"/>
      <c r="G64" s="63"/>
      <c r="H64" s="63"/>
      <c r="I64" s="63"/>
    </row>
    <row r="65" customFormat="false" ht="18.75" hidden="false" customHeight="true" outlineLevel="0" collapsed="false">
      <c r="B65" s="61"/>
      <c r="C65" s="61"/>
      <c r="D65" s="61"/>
      <c r="E65" s="61"/>
      <c r="F65" s="62"/>
      <c r="G65" s="61"/>
      <c r="H65" s="61"/>
      <c r="I65" s="61"/>
    </row>
    <row r="66" customFormat="false" ht="18.75" hidden="false" customHeight="true" outlineLevel="0" collapsed="false">
      <c r="B66" s="63"/>
      <c r="C66" s="63"/>
      <c r="D66" s="63"/>
      <c r="E66" s="63"/>
      <c r="F66" s="64"/>
      <c r="G66" s="63"/>
      <c r="H66" s="63"/>
      <c r="I66" s="63"/>
    </row>
    <row r="67" customFormat="false" ht="18.75" hidden="false" customHeight="true" outlineLevel="0" collapsed="false">
      <c r="B67" s="61"/>
      <c r="C67" s="61"/>
      <c r="D67" s="61"/>
      <c r="E67" s="61"/>
      <c r="F67" s="62"/>
      <c r="G67" s="61"/>
      <c r="H67" s="61"/>
      <c r="I67" s="61"/>
    </row>
    <row r="68" customFormat="false" ht="18.75" hidden="false" customHeight="true" outlineLevel="0" collapsed="false">
      <c r="B68" s="63"/>
      <c r="C68" s="63"/>
      <c r="D68" s="63"/>
      <c r="E68" s="63"/>
      <c r="F68" s="64"/>
      <c r="G68" s="63"/>
      <c r="H68" s="63"/>
      <c r="I68" s="63"/>
    </row>
    <row r="69" customFormat="false" ht="18.75" hidden="false" customHeight="true" outlineLevel="0" collapsed="false">
      <c r="B69" s="61"/>
      <c r="C69" s="61"/>
      <c r="D69" s="61"/>
      <c r="E69" s="61"/>
      <c r="F69" s="62"/>
      <c r="G69" s="61"/>
      <c r="H69" s="61"/>
      <c r="I69" s="61"/>
    </row>
    <row r="70" customFormat="false" ht="18.75" hidden="false" customHeight="true" outlineLevel="0" collapsed="false">
      <c r="B70" s="63"/>
      <c r="C70" s="63"/>
      <c r="D70" s="63"/>
      <c r="E70" s="63"/>
      <c r="F70" s="64"/>
      <c r="G70" s="63"/>
      <c r="H70" s="63"/>
      <c r="I70" s="63"/>
    </row>
    <row r="71" customFormat="false" ht="18.75" hidden="false" customHeight="true" outlineLevel="0" collapsed="false">
      <c r="B71" s="61"/>
      <c r="C71" s="61"/>
      <c r="D71" s="61"/>
      <c r="E71" s="61"/>
      <c r="F71" s="62"/>
      <c r="G71" s="61"/>
      <c r="H71" s="61"/>
      <c r="I71" s="61"/>
    </row>
    <row r="72" customFormat="false" ht="18.75" hidden="false" customHeight="true" outlineLevel="0" collapsed="false">
      <c r="B72" s="63"/>
      <c r="C72" s="63"/>
      <c r="D72" s="63"/>
      <c r="E72" s="63"/>
      <c r="F72" s="64"/>
      <c r="G72" s="63"/>
      <c r="H72" s="63"/>
      <c r="I72" s="63"/>
    </row>
    <row r="73" customFormat="false" ht="18.75" hidden="false" customHeight="true" outlineLevel="0" collapsed="false">
      <c r="B73" s="61"/>
      <c r="C73" s="61"/>
      <c r="D73" s="61"/>
      <c r="E73" s="61"/>
      <c r="F73" s="62"/>
      <c r="G73" s="61"/>
      <c r="H73" s="61"/>
      <c r="I73" s="61"/>
    </row>
    <row r="74" customFormat="false" ht="18.75" hidden="false" customHeight="true" outlineLevel="0" collapsed="false">
      <c r="B74" s="63"/>
      <c r="C74" s="63"/>
      <c r="D74" s="63"/>
      <c r="E74" s="63"/>
      <c r="F74" s="64"/>
      <c r="G74" s="63"/>
      <c r="H74" s="63"/>
      <c r="I74" s="63"/>
    </row>
    <row r="75" customFormat="false" ht="18.75" hidden="false" customHeight="true" outlineLevel="0" collapsed="false">
      <c r="B75" s="61"/>
      <c r="C75" s="61"/>
      <c r="D75" s="61"/>
      <c r="E75" s="61"/>
      <c r="F75" s="62"/>
      <c r="G75" s="61"/>
      <c r="H75" s="61"/>
      <c r="I75" s="61"/>
    </row>
    <row r="76" customFormat="false" ht="18.75" hidden="false" customHeight="true" outlineLevel="0" collapsed="false">
      <c r="B76" s="63"/>
      <c r="C76" s="63"/>
      <c r="D76" s="63"/>
      <c r="E76" s="63"/>
      <c r="F76" s="64"/>
      <c r="G76" s="63"/>
      <c r="H76" s="63"/>
      <c r="I76" s="63"/>
    </row>
    <row r="77" customFormat="false" ht="18.75" hidden="false" customHeight="true" outlineLevel="0" collapsed="false">
      <c r="B77" s="61"/>
      <c r="C77" s="61"/>
      <c r="D77" s="61"/>
      <c r="E77" s="61"/>
      <c r="F77" s="62"/>
      <c r="G77" s="61"/>
      <c r="H77" s="61"/>
      <c r="I77" s="61"/>
    </row>
    <row r="78" customFormat="false" ht="18.75" hidden="false" customHeight="true" outlineLevel="0" collapsed="false">
      <c r="B78" s="63"/>
      <c r="C78" s="63"/>
      <c r="D78" s="63"/>
      <c r="E78" s="63"/>
      <c r="F78" s="64"/>
      <c r="G78" s="63"/>
      <c r="H78" s="63"/>
      <c r="I78" s="63"/>
    </row>
    <row r="79" customFormat="false" ht="18.75" hidden="false" customHeight="true" outlineLevel="0" collapsed="false">
      <c r="B79" s="61"/>
      <c r="C79" s="61"/>
      <c r="D79" s="61"/>
      <c r="E79" s="61"/>
      <c r="F79" s="62"/>
      <c r="G79" s="61"/>
      <c r="H79" s="61"/>
      <c r="I79" s="61"/>
    </row>
    <row r="80" customFormat="false" ht="18.75" hidden="false" customHeight="true" outlineLevel="0" collapsed="false">
      <c r="B80" s="63"/>
      <c r="C80" s="63"/>
      <c r="D80" s="63"/>
      <c r="E80" s="63"/>
      <c r="F80" s="64"/>
      <c r="G80" s="63"/>
      <c r="H80" s="63"/>
      <c r="I80" s="63"/>
    </row>
    <row r="81" customFormat="false" ht="18.75" hidden="false" customHeight="true" outlineLevel="0" collapsed="false">
      <c r="B81" s="61"/>
      <c r="C81" s="61"/>
      <c r="D81" s="61"/>
      <c r="E81" s="61"/>
      <c r="F81" s="62"/>
      <c r="G81" s="61"/>
      <c r="H81" s="61"/>
      <c r="I81" s="61"/>
    </row>
    <row r="82" customFormat="false" ht="18.75" hidden="false" customHeight="true" outlineLevel="0" collapsed="false">
      <c r="B82" s="63"/>
      <c r="C82" s="63"/>
      <c r="D82" s="63"/>
      <c r="E82" s="63"/>
      <c r="F82" s="64"/>
      <c r="G82" s="63"/>
      <c r="H82" s="63"/>
      <c r="I82" s="63"/>
    </row>
    <row r="83" customFormat="false" ht="18.75" hidden="false" customHeight="true" outlineLevel="0" collapsed="false">
      <c r="B83" s="61"/>
      <c r="C83" s="61"/>
      <c r="D83" s="61"/>
      <c r="E83" s="61"/>
      <c r="F83" s="62"/>
      <c r="G83" s="61"/>
      <c r="H83" s="61"/>
      <c r="I83" s="61"/>
    </row>
    <row r="84" customFormat="false" ht="18.75" hidden="false" customHeight="true" outlineLevel="0" collapsed="false">
      <c r="B84" s="63"/>
      <c r="C84" s="63"/>
      <c r="D84" s="63"/>
      <c r="E84" s="63"/>
      <c r="F84" s="64"/>
      <c r="G84" s="63"/>
      <c r="H84" s="63"/>
      <c r="I84" s="63"/>
    </row>
    <row r="85" customFormat="false" ht="18.75" hidden="false" customHeight="true" outlineLevel="0" collapsed="false">
      <c r="B85" s="61"/>
      <c r="C85" s="61"/>
      <c r="D85" s="61"/>
      <c r="E85" s="61"/>
      <c r="F85" s="62"/>
      <c r="G85" s="61"/>
      <c r="H85" s="61"/>
      <c r="I85" s="61"/>
    </row>
    <row r="86" customFormat="false" ht="18.75" hidden="false" customHeight="true" outlineLevel="0" collapsed="false">
      <c r="B86" s="63"/>
      <c r="C86" s="63"/>
      <c r="D86" s="63"/>
      <c r="E86" s="63"/>
      <c r="F86" s="64"/>
      <c r="G86" s="63"/>
      <c r="H86" s="63"/>
      <c r="I86" s="63"/>
    </row>
    <row r="87" customFormat="false" ht="18.75" hidden="false" customHeight="true" outlineLevel="0" collapsed="false">
      <c r="B87" s="61"/>
      <c r="C87" s="61"/>
      <c r="D87" s="61"/>
      <c r="E87" s="61"/>
      <c r="F87" s="62"/>
      <c r="G87" s="61"/>
      <c r="H87" s="61"/>
      <c r="I87" s="61"/>
    </row>
    <row r="88" customFormat="false" ht="18.75" hidden="false" customHeight="true" outlineLevel="0" collapsed="false">
      <c r="B88" s="63"/>
      <c r="C88" s="63"/>
      <c r="D88" s="63"/>
      <c r="E88" s="63"/>
      <c r="F88" s="64"/>
      <c r="G88" s="63"/>
      <c r="H88" s="63"/>
      <c r="I88" s="63"/>
    </row>
    <row r="89" customFormat="false" ht="18.75" hidden="false" customHeight="true" outlineLevel="0" collapsed="false">
      <c r="B89" s="61"/>
      <c r="C89" s="61"/>
      <c r="D89" s="61"/>
      <c r="E89" s="61"/>
      <c r="F89" s="62"/>
      <c r="G89" s="61"/>
      <c r="H89" s="61"/>
      <c r="I89" s="61"/>
    </row>
    <row r="90" customFormat="false" ht="18.75" hidden="false" customHeight="true" outlineLevel="0" collapsed="false">
      <c r="B90" s="63"/>
      <c r="C90" s="63"/>
      <c r="D90" s="63"/>
      <c r="E90" s="63"/>
      <c r="F90" s="64"/>
      <c r="G90" s="63"/>
      <c r="H90" s="63"/>
      <c r="I90" s="63"/>
    </row>
    <row r="91" customFormat="false" ht="18.75" hidden="false" customHeight="true" outlineLevel="0" collapsed="false">
      <c r="B91" s="61"/>
      <c r="C91" s="61"/>
      <c r="D91" s="61"/>
      <c r="E91" s="61"/>
      <c r="F91" s="62"/>
      <c r="G91" s="61"/>
      <c r="H91" s="61"/>
      <c r="I91" s="61"/>
    </row>
    <row r="92" customFormat="false" ht="18.75" hidden="false" customHeight="true" outlineLevel="0" collapsed="false">
      <c r="B92" s="63"/>
      <c r="C92" s="63"/>
      <c r="D92" s="63"/>
      <c r="E92" s="63"/>
      <c r="F92" s="64"/>
      <c r="G92" s="63"/>
      <c r="H92" s="63"/>
      <c r="I92" s="63"/>
    </row>
    <row r="93" customFormat="false" ht="18.75" hidden="false" customHeight="true" outlineLevel="0" collapsed="false">
      <c r="B93" s="61"/>
      <c r="C93" s="61"/>
      <c r="D93" s="61"/>
      <c r="E93" s="61"/>
      <c r="F93" s="62"/>
      <c r="G93" s="61"/>
      <c r="H93" s="61"/>
      <c r="I93" s="61"/>
    </row>
    <row r="94" customFormat="false" ht="18.75" hidden="false" customHeight="true" outlineLevel="0" collapsed="false">
      <c r="B94" s="63"/>
      <c r="C94" s="63"/>
      <c r="D94" s="63"/>
      <c r="E94" s="63"/>
      <c r="F94" s="64"/>
      <c r="G94" s="63"/>
      <c r="H94" s="63"/>
      <c r="I94" s="63"/>
    </row>
    <row r="95" customFormat="false" ht="18.75" hidden="false" customHeight="true" outlineLevel="0" collapsed="false">
      <c r="B95" s="61"/>
      <c r="C95" s="61"/>
      <c r="D95" s="61"/>
      <c r="E95" s="61"/>
      <c r="F95" s="62"/>
      <c r="G95" s="61"/>
      <c r="H95" s="61"/>
      <c r="I95" s="61"/>
    </row>
    <row r="96" customFormat="false" ht="18.75" hidden="false" customHeight="true" outlineLevel="0" collapsed="false">
      <c r="B96" s="63"/>
      <c r="C96" s="63"/>
      <c r="D96" s="63"/>
      <c r="E96" s="63"/>
      <c r="F96" s="64"/>
      <c r="G96" s="63"/>
      <c r="H96" s="63"/>
      <c r="I96" s="63"/>
    </row>
    <row r="97" customFormat="false" ht="18.75" hidden="false" customHeight="true" outlineLevel="0" collapsed="false">
      <c r="B97" s="61"/>
      <c r="C97" s="61"/>
      <c r="D97" s="61"/>
      <c r="E97" s="61"/>
      <c r="F97" s="62"/>
      <c r="G97" s="61"/>
      <c r="H97" s="61"/>
      <c r="I97" s="61"/>
    </row>
    <row r="98" customFormat="false" ht="18.75" hidden="false" customHeight="true" outlineLevel="0" collapsed="false">
      <c r="B98" s="63"/>
      <c r="C98" s="63"/>
      <c r="D98" s="63"/>
      <c r="E98" s="63"/>
      <c r="F98" s="64"/>
      <c r="G98" s="63"/>
      <c r="H98" s="63"/>
      <c r="I98" s="63"/>
    </row>
    <row r="99" customFormat="false" ht="18.75" hidden="false" customHeight="true" outlineLevel="0" collapsed="false">
      <c r="B99" s="61"/>
      <c r="C99" s="61"/>
      <c r="D99" s="61"/>
      <c r="E99" s="61"/>
      <c r="F99" s="62"/>
      <c r="G99" s="61"/>
      <c r="H99" s="61"/>
      <c r="I99" s="61"/>
    </row>
    <row r="100" customFormat="false" ht="18.75" hidden="false" customHeight="true" outlineLevel="0" collapsed="false">
      <c r="B100" s="63"/>
      <c r="C100" s="63"/>
      <c r="D100" s="63"/>
      <c r="E100" s="63"/>
      <c r="F100" s="64"/>
      <c r="G100" s="63"/>
      <c r="H100" s="63"/>
      <c r="I100" s="63"/>
    </row>
    <row r="101" customFormat="false" ht="18.75" hidden="false" customHeight="true" outlineLevel="0" collapsed="false">
      <c r="B101" s="61"/>
      <c r="C101" s="61"/>
      <c r="D101" s="61"/>
      <c r="E101" s="61"/>
      <c r="F101" s="62"/>
      <c r="G101" s="61"/>
      <c r="H101" s="61"/>
      <c r="I101" s="61"/>
    </row>
    <row r="102" customFormat="false" ht="18.75" hidden="false" customHeight="true" outlineLevel="0" collapsed="false">
      <c r="B102" s="63"/>
      <c r="C102" s="63"/>
      <c r="D102" s="63"/>
      <c r="E102" s="63"/>
      <c r="F102" s="64"/>
      <c r="G102" s="63"/>
      <c r="H102" s="63"/>
      <c r="I102" s="63"/>
    </row>
    <row r="103" customFormat="false" ht="18.75" hidden="false" customHeight="true" outlineLevel="0" collapsed="false">
      <c r="B103" s="61"/>
      <c r="C103" s="61"/>
      <c r="D103" s="61"/>
      <c r="E103" s="61"/>
      <c r="F103" s="62"/>
      <c r="G103" s="61"/>
      <c r="H103" s="61"/>
      <c r="I103" s="61"/>
    </row>
    <row r="104" customFormat="false" ht="18.75" hidden="false" customHeight="true" outlineLevel="0" collapsed="false">
      <c r="B104" s="63"/>
      <c r="C104" s="63"/>
      <c r="D104" s="63"/>
      <c r="E104" s="63"/>
      <c r="F104" s="64"/>
      <c r="G104" s="63"/>
      <c r="H104" s="63"/>
      <c r="I104" s="63"/>
    </row>
    <row r="105" customFormat="false" ht="18.75" hidden="false" customHeight="true" outlineLevel="0" collapsed="false">
      <c r="B105" s="61"/>
      <c r="C105" s="61"/>
      <c r="D105" s="61"/>
      <c r="E105" s="61"/>
      <c r="F105" s="62"/>
      <c r="G105" s="61"/>
      <c r="H105" s="61"/>
      <c r="I105" s="61"/>
    </row>
    <row r="106" customFormat="false" ht="18.75" hidden="false" customHeight="true" outlineLevel="0" collapsed="false">
      <c r="B106" s="63"/>
      <c r="C106" s="63"/>
      <c r="D106" s="63"/>
      <c r="E106" s="63"/>
      <c r="F106" s="64"/>
      <c r="G106" s="63"/>
      <c r="H106" s="63"/>
      <c r="I106" s="63"/>
    </row>
    <row r="107" customFormat="false" ht="18.75" hidden="false" customHeight="true" outlineLevel="0" collapsed="false">
      <c r="B107" s="61"/>
      <c r="C107" s="61"/>
      <c r="D107" s="61"/>
      <c r="E107" s="61"/>
      <c r="F107" s="62"/>
      <c r="G107" s="61"/>
      <c r="H107" s="61"/>
      <c r="I107" s="61"/>
    </row>
    <row r="108" customFormat="false" ht="18.75" hidden="false" customHeight="true" outlineLevel="0" collapsed="false">
      <c r="B108" s="65" t="s">
        <v>96</v>
      </c>
      <c r="C108" s="65"/>
      <c r="D108" s="65"/>
      <c r="E108" s="65"/>
      <c r="F108" s="66" t="n">
        <f aca="false">SUM(E8:E107)</f>
        <v>0</v>
      </c>
    </row>
    <row r="109" customFormat="false" ht="18.75" hidden="false" customHeight="true" outlineLevel="0" collapsed="false"/>
    <row r="110" customFormat="false" ht="18.75" hidden="false" customHeight="true" outlineLevel="0" collapsed="false">
      <c r="B110" s="67" t="s">
        <v>97</v>
      </c>
      <c r="C110" s="67"/>
      <c r="D110" s="67"/>
      <c r="E110" s="67"/>
      <c r="F110" s="67"/>
      <c r="G110" s="67"/>
      <c r="H110" s="67"/>
    </row>
    <row r="111" customFormat="false" ht="18.75" hidden="false" customHeight="true" outlineLevel="0" collapsed="false"/>
    <row r="112" customFormat="false" ht="18.75" hidden="false" customHeight="true" outlineLevel="0" collapsed="false"/>
    <row r="113" customFormat="false" ht="18.75" hidden="false" customHeight="true" outlineLevel="0" collapsed="false"/>
    <row r="114" customFormat="false" ht="18.75" hidden="false" customHeight="true" outlineLevel="0" collapsed="false"/>
    <row r="115" customFormat="false" ht="18.75" hidden="false" customHeight="true" outlineLevel="0" collapsed="false"/>
    <row r="116" customFormat="false" ht="18.75" hidden="false" customHeight="true" outlineLevel="0" collapsed="false"/>
    <row r="117" customFormat="false" ht="18.75" hidden="false" customHeight="true" outlineLevel="0" collapsed="false"/>
    <row r="118" customFormat="false" ht="18.75" hidden="false" customHeight="true" outlineLevel="0" collapsed="false"/>
    <row r="119" customFormat="false" ht="18.75" hidden="false" customHeight="true" outlineLevel="0" collapsed="false"/>
  </sheetData>
  <mergeCells count="9">
    <mergeCell ref="B1:H2"/>
    <mergeCell ref="B4:C4"/>
    <mergeCell ref="D4:E4"/>
    <mergeCell ref="F4:G4"/>
    <mergeCell ref="B5:C5"/>
    <mergeCell ref="D5:E5"/>
    <mergeCell ref="F5:G5"/>
    <mergeCell ref="B108:E108"/>
    <mergeCell ref="B110:H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4"/>
  </cols>
  <sheetData>
    <row r="1" customFormat="false" ht="18.75" hidden="false" customHeight="true" outlineLevel="0" collapsed="false">
      <c r="B1" s="48" t="s">
        <v>152</v>
      </c>
      <c r="C1" s="48"/>
      <c r="D1" s="48"/>
      <c r="E1" s="48"/>
      <c r="F1" s="48"/>
      <c r="G1" s="48"/>
      <c r="H1" s="48"/>
    </row>
    <row r="2" customFormat="false" ht="18.75" hidden="false" customHeight="true" outlineLevel="0" collapsed="false">
      <c r="B2" s="48"/>
      <c r="C2" s="48"/>
      <c r="D2" s="48"/>
      <c r="E2" s="48"/>
      <c r="F2" s="48"/>
      <c r="G2" s="48"/>
      <c r="H2" s="48"/>
    </row>
    <row r="3" customFormat="false" ht="18.75" hidden="false" customHeight="true" outlineLevel="0" collapsed="false"/>
    <row r="4" customFormat="false" ht="18.75" hidden="false" customHeight="true" outlineLevel="0" collapsed="false">
      <c r="B4" s="49" t="s">
        <v>51</v>
      </c>
      <c r="C4" s="49"/>
      <c r="D4" s="50" t="s">
        <v>52</v>
      </c>
      <c r="E4" s="50"/>
      <c r="F4" s="51" t="s">
        <v>53</v>
      </c>
      <c r="G4" s="51"/>
    </row>
    <row r="5" customFormat="false" ht="18.75" hidden="false" customHeight="true" outlineLevel="0" collapsed="false">
      <c r="B5" s="52" t="n">
        <f aca="false">SUMIF(C8:C107,"Receita",E8:E107)</f>
        <v>0</v>
      </c>
      <c r="C5" s="52"/>
      <c r="D5" s="53" t="n">
        <f aca="false">SUMIF(C8:C107,"Despesa",E8:E107)</f>
        <v>0</v>
      </c>
      <c r="E5" s="53"/>
      <c r="F5" s="54" t="n">
        <f aca="false">B5-D5</f>
        <v>0</v>
      </c>
      <c r="G5" s="54"/>
    </row>
    <row r="6" customFormat="false" ht="18.75" hidden="false" customHeight="true" outlineLevel="0" collapsed="false"/>
    <row r="7" customFormat="false" ht="18.75" hidden="false" customHeight="true" outlineLevel="0" collapsed="false">
      <c r="B7" s="24" t="s">
        <v>54</v>
      </c>
      <c r="C7" s="24" t="s">
        <v>55</v>
      </c>
      <c r="D7" s="24" t="s">
        <v>20</v>
      </c>
      <c r="E7" s="24" t="s">
        <v>19</v>
      </c>
      <c r="F7" s="24" t="s">
        <v>56</v>
      </c>
      <c r="G7" s="24" t="s">
        <v>25</v>
      </c>
      <c r="H7" s="24" t="s">
        <v>57</v>
      </c>
      <c r="I7" s="24" t="s">
        <v>58</v>
      </c>
    </row>
    <row r="8" customFormat="false" ht="18.75" hidden="false" customHeight="true" outlineLevel="0" collapsed="false">
      <c r="B8" s="55" t="s">
        <v>153</v>
      </c>
      <c r="C8" s="56" t="s">
        <v>60</v>
      </c>
      <c r="D8" s="55" t="s">
        <v>61</v>
      </c>
      <c r="E8" s="55" t="s">
        <v>62</v>
      </c>
      <c r="F8" s="57" t="n">
        <v>3500</v>
      </c>
      <c r="G8" s="55" t="s">
        <v>63</v>
      </c>
      <c r="H8" s="55" t="s">
        <v>64</v>
      </c>
      <c r="I8" s="55" t="s">
        <v>65</v>
      </c>
    </row>
    <row r="9" customFormat="false" ht="18.75" hidden="false" customHeight="true" outlineLevel="0" collapsed="false">
      <c r="B9" s="58" t="s">
        <v>153</v>
      </c>
      <c r="C9" s="59" t="s">
        <v>66</v>
      </c>
      <c r="D9" s="58" t="s">
        <v>61</v>
      </c>
      <c r="E9" s="58" t="s">
        <v>62</v>
      </c>
      <c r="F9" s="60" t="n">
        <v>500</v>
      </c>
      <c r="G9" s="58" t="s">
        <v>63</v>
      </c>
      <c r="H9" s="58" t="s">
        <v>67</v>
      </c>
      <c r="I9" s="58" t="s">
        <v>68</v>
      </c>
    </row>
    <row r="10" customFormat="false" ht="18.75" hidden="false" customHeight="true" outlineLevel="0" collapsed="false">
      <c r="B10" s="55" t="s">
        <v>154</v>
      </c>
      <c r="C10" s="56" t="s">
        <v>70</v>
      </c>
      <c r="D10" s="55" t="s">
        <v>71</v>
      </c>
      <c r="E10" s="55" t="s">
        <v>26</v>
      </c>
      <c r="F10" s="57" t="n">
        <v>1200</v>
      </c>
      <c r="G10" s="55" t="s">
        <v>72</v>
      </c>
      <c r="H10" s="55" t="s">
        <v>73</v>
      </c>
      <c r="I10" s="55" t="s">
        <v>74</v>
      </c>
    </row>
    <row r="11" customFormat="false" ht="18.75" hidden="false" customHeight="true" outlineLevel="0" collapsed="false">
      <c r="B11" s="58" t="s">
        <v>155</v>
      </c>
      <c r="C11" s="59" t="s">
        <v>76</v>
      </c>
      <c r="D11" s="58" t="s">
        <v>71</v>
      </c>
      <c r="E11" s="58" t="s">
        <v>30</v>
      </c>
      <c r="F11" s="60" t="n">
        <v>450</v>
      </c>
      <c r="G11" s="58" t="s">
        <v>72</v>
      </c>
      <c r="H11" s="58" t="s">
        <v>77</v>
      </c>
      <c r="I11" s="58" t="s">
        <v>78</v>
      </c>
    </row>
    <row r="12" customFormat="false" ht="18.75" hidden="false" customHeight="true" outlineLevel="0" collapsed="false">
      <c r="B12" s="55" t="s">
        <v>156</v>
      </c>
      <c r="C12" s="56" t="s">
        <v>80</v>
      </c>
      <c r="D12" s="55" t="s">
        <v>71</v>
      </c>
      <c r="E12" s="55" t="s">
        <v>28</v>
      </c>
      <c r="F12" s="57" t="n">
        <v>150</v>
      </c>
      <c r="G12" s="55" t="s">
        <v>72</v>
      </c>
      <c r="H12" s="55" t="s">
        <v>81</v>
      </c>
      <c r="I12" s="55"/>
    </row>
    <row r="13" customFormat="false" ht="18.75" hidden="false" customHeight="true" outlineLevel="0" collapsed="false">
      <c r="B13" s="58" t="s">
        <v>157</v>
      </c>
      <c r="C13" s="59" t="s">
        <v>83</v>
      </c>
      <c r="D13" s="58" t="s">
        <v>71</v>
      </c>
      <c r="E13" s="58" t="s">
        <v>29</v>
      </c>
      <c r="F13" s="60" t="n">
        <v>200</v>
      </c>
      <c r="G13" s="58" t="s">
        <v>72</v>
      </c>
      <c r="H13" s="58" t="s">
        <v>84</v>
      </c>
      <c r="I13" s="58"/>
    </row>
    <row r="14" customFormat="false" ht="18.75" hidden="false" customHeight="true" outlineLevel="0" collapsed="false">
      <c r="B14" s="55" t="s">
        <v>158</v>
      </c>
      <c r="C14" s="56" t="s">
        <v>86</v>
      </c>
      <c r="D14" s="55" t="s">
        <v>71</v>
      </c>
      <c r="E14" s="55" t="s">
        <v>38</v>
      </c>
      <c r="F14" s="57" t="n">
        <v>500</v>
      </c>
      <c r="G14" s="55" t="s">
        <v>72</v>
      </c>
      <c r="H14" s="55" t="s">
        <v>87</v>
      </c>
      <c r="I14" s="55" t="s">
        <v>88</v>
      </c>
    </row>
    <row r="15" customFormat="false" ht="18.75" hidden="false" customHeight="true" outlineLevel="0" collapsed="false">
      <c r="B15" s="58" t="s">
        <v>159</v>
      </c>
      <c r="C15" s="59" t="s">
        <v>90</v>
      </c>
      <c r="D15" s="58" t="s">
        <v>71</v>
      </c>
      <c r="E15" s="58" t="s">
        <v>32</v>
      </c>
      <c r="F15" s="60" t="n">
        <v>100</v>
      </c>
      <c r="G15" s="58" t="s">
        <v>91</v>
      </c>
      <c r="H15" s="58" t="s">
        <v>92</v>
      </c>
      <c r="I15" s="58"/>
    </row>
    <row r="16" customFormat="false" ht="18.75" hidden="false" customHeight="true" outlineLevel="0" collapsed="false">
      <c r="B16" s="55" t="s">
        <v>160</v>
      </c>
      <c r="C16" s="56" t="s">
        <v>94</v>
      </c>
      <c r="D16" s="55" t="s">
        <v>71</v>
      </c>
      <c r="E16" s="55" t="s">
        <v>36</v>
      </c>
      <c r="F16" s="57" t="n">
        <v>60</v>
      </c>
      <c r="G16" s="55" t="s">
        <v>91</v>
      </c>
      <c r="H16" s="55" t="s">
        <v>95</v>
      </c>
      <c r="I16" s="55"/>
    </row>
    <row r="17" customFormat="false" ht="18.75" hidden="false" customHeight="true" outlineLevel="0" collapsed="false">
      <c r="B17" s="61"/>
      <c r="C17" s="61"/>
      <c r="D17" s="61"/>
      <c r="E17" s="61"/>
      <c r="F17" s="62"/>
      <c r="G17" s="61"/>
      <c r="H17" s="61"/>
      <c r="I17" s="61"/>
    </row>
    <row r="18" customFormat="false" ht="18.75" hidden="false" customHeight="true" outlineLevel="0" collapsed="false">
      <c r="B18" s="63"/>
      <c r="C18" s="63"/>
      <c r="D18" s="63"/>
      <c r="E18" s="63"/>
      <c r="F18" s="64"/>
      <c r="G18" s="63"/>
      <c r="H18" s="63"/>
      <c r="I18" s="63"/>
    </row>
    <row r="19" customFormat="false" ht="18.75" hidden="false" customHeight="true" outlineLevel="0" collapsed="false">
      <c r="B19" s="61"/>
      <c r="C19" s="61"/>
      <c r="D19" s="61"/>
      <c r="E19" s="61"/>
      <c r="F19" s="62"/>
      <c r="G19" s="61"/>
      <c r="H19" s="61"/>
      <c r="I19" s="61"/>
    </row>
    <row r="20" customFormat="false" ht="18.75" hidden="false" customHeight="true" outlineLevel="0" collapsed="false">
      <c r="B20" s="63"/>
      <c r="C20" s="63"/>
      <c r="D20" s="63"/>
      <c r="E20" s="63"/>
      <c r="F20" s="64"/>
      <c r="G20" s="63"/>
      <c r="H20" s="63"/>
      <c r="I20" s="63"/>
    </row>
    <row r="21" customFormat="false" ht="18.75" hidden="false" customHeight="true" outlineLevel="0" collapsed="false">
      <c r="B21" s="61"/>
      <c r="C21" s="61"/>
      <c r="D21" s="61"/>
      <c r="E21" s="61"/>
      <c r="F21" s="62"/>
      <c r="G21" s="61"/>
      <c r="H21" s="61"/>
      <c r="I21" s="61"/>
    </row>
    <row r="22" customFormat="false" ht="18.75" hidden="false" customHeight="true" outlineLevel="0" collapsed="false">
      <c r="B22" s="63"/>
      <c r="C22" s="63"/>
      <c r="D22" s="63"/>
      <c r="E22" s="63"/>
      <c r="F22" s="64"/>
      <c r="G22" s="63"/>
      <c r="H22" s="63"/>
      <c r="I22" s="63"/>
    </row>
    <row r="23" customFormat="false" ht="18.75" hidden="false" customHeight="true" outlineLevel="0" collapsed="false">
      <c r="B23" s="61"/>
      <c r="C23" s="61"/>
      <c r="D23" s="61"/>
      <c r="E23" s="61"/>
      <c r="F23" s="62"/>
      <c r="G23" s="61"/>
      <c r="H23" s="61"/>
      <c r="I23" s="61"/>
    </row>
    <row r="24" customFormat="false" ht="18.75" hidden="false" customHeight="true" outlineLevel="0" collapsed="false">
      <c r="B24" s="63"/>
      <c r="C24" s="63"/>
      <c r="D24" s="63"/>
      <c r="E24" s="63"/>
      <c r="F24" s="64"/>
      <c r="G24" s="63"/>
      <c r="H24" s="63"/>
      <c r="I24" s="63"/>
    </row>
    <row r="25" customFormat="false" ht="18.75" hidden="false" customHeight="true" outlineLevel="0" collapsed="false">
      <c r="B25" s="61"/>
      <c r="C25" s="61"/>
      <c r="D25" s="61"/>
      <c r="E25" s="61"/>
      <c r="F25" s="62"/>
      <c r="G25" s="61"/>
      <c r="H25" s="61"/>
      <c r="I25" s="61"/>
    </row>
    <row r="26" customFormat="false" ht="18.75" hidden="false" customHeight="true" outlineLevel="0" collapsed="false">
      <c r="B26" s="63"/>
      <c r="C26" s="63"/>
      <c r="D26" s="63"/>
      <c r="E26" s="63"/>
      <c r="F26" s="64"/>
      <c r="G26" s="63"/>
      <c r="H26" s="63"/>
      <c r="I26" s="63"/>
    </row>
    <row r="27" customFormat="false" ht="18.75" hidden="false" customHeight="true" outlineLevel="0" collapsed="false">
      <c r="B27" s="61"/>
      <c r="C27" s="61"/>
      <c r="D27" s="61"/>
      <c r="E27" s="61"/>
      <c r="F27" s="62"/>
      <c r="G27" s="61"/>
      <c r="H27" s="61"/>
      <c r="I27" s="61"/>
    </row>
    <row r="28" customFormat="false" ht="18.75" hidden="false" customHeight="true" outlineLevel="0" collapsed="false">
      <c r="B28" s="63"/>
      <c r="C28" s="63"/>
      <c r="D28" s="63"/>
      <c r="E28" s="63"/>
      <c r="F28" s="64"/>
      <c r="G28" s="63"/>
      <c r="H28" s="63"/>
      <c r="I28" s="63"/>
    </row>
    <row r="29" customFormat="false" ht="18.75" hidden="false" customHeight="true" outlineLevel="0" collapsed="false">
      <c r="B29" s="61"/>
      <c r="C29" s="61"/>
      <c r="D29" s="61"/>
      <c r="E29" s="61"/>
      <c r="F29" s="62"/>
      <c r="G29" s="61"/>
      <c r="H29" s="61"/>
      <c r="I29" s="61"/>
    </row>
    <row r="30" customFormat="false" ht="18.75" hidden="false" customHeight="true" outlineLevel="0" collapsed="false">
      <c r="B30" s="63"/>
      <c r="C30" s="63"/>
      <c r="D30" s="63"/>
      <c r="E30" s="63"/>
      <c r="F30" s="64"/>
      <c r="G30" s="63"/>
      <c r="H30" s="63"/>
      <c r="I30" s="63"/>
    </row>
    <row r="31" customFormat="false" ht="18.75" hidden="false" customHeight="true" outlineLevel="0" collapsed="false">
      <c r="B31" s="61"/>
      <c r="C31" s="61"/>
      <c r="D31" s="61"/>
      <c r="E31" s="61"/>
      <c r="F31" s="62"/>
      <c r="G31" s="61"/>
      <c r="H31" s="61"/>
      <c r="I31" s="61"/>
    </row>
    <row r="32" customFormat="false" ht="18.75" hidden="false" customHeight="true" outlineLevel="0" collapsed="false">
      <c r="B32" s="63"/>
      <c r="C32" s="63"/>
      <c r="D32" s="63"/>
      <c r="E32" s="63"/>
      <c r="F32" s="64"/>
      <c r="G32" s="63"/>
      <c r="H32" s="63"/>
      <c r="I32" s="63"/>
    </row>
    <row r="33" customFormat="false" ht="18.75" hidden="false" customHeight="true" outlineLevel="0" collapsed="false">
      <c r="B33" s="61"/>
      <c r="C33" s="61"/>
      <c r="D33" s="61"/>
      <c r="E33" s="61"/>
      <c r="F33" s="62"/>
      <c r="G33" s="61"/>
      <c r="H33" s="61"/>
      <c r="I33" s="61"/>
    </row>
    <row r="34" customFormat="false" ht="18.75" hidden="false" customHeight="true" outlineLevel="0" collapsed="false">
      <c r="B34" s="63"/>
      <c r="C34" s="63"/>
      <c r="D34" s="63"/>
      <c r="E34" s="63"/>
      <c r="F34" s="64"/>
      <c r="G34" s="63"/>
      <c r="H34" s="63"/>
      <c r="I34" s="63"/>
    </row>
    <row r="35" customFormat="false" ht="18.75" hidden="false" customHeight="true" outlineLevel="0" collapsed="false">
      <c r="B35" s="61"/>
      <c r="C35" s="61"/>
      <c r="D35" s="61"/>
      <c r="E35" s="61"/>
      <c r="F35" s="62"/>
      <c r="G35" s="61"/>
      <c r="H35" s="61"/>
      <c r="I35" s="61"/>
    </row>
    <row r="36" customFormat="false" ht="18.75" hidden="false" customHeight="true" outlineLevel="0" collapsed="false">
      <c r="B36" s="63"/>
      <c r="C36" s="63"/>
      <c r="D36" s="63"/>
      <c r="E36" s="63"/>
      <c r="F36" s="64"/>
      <c r="G36" s="63"/>
      <c r="H36" s="63"/>
      <c r="I36" s="63"/>
    </row>
    <row r="37" customFormat="false" ht="18.75" hidden="false" customHeight="true" outlineLevel="0" collapsed="false">
      <c r="B37" s="61"/>
      <c r="C37" s="61"/>
      <c r="D37" s="61"/>
      <c r="E37" s="61"/>
      <c r="F37" s="62"/>
      <c r="G37" s="61"/>
      <c r="H37" s="61"/>
      <c r="I37" s="61"/>
    </row>
    <row r="38" customFormat="false" ht="18.75" hidden="false" customHeight="true" outlineLevel="0" collapsed="false">
      <c r="B38" s="63"/>
      <c r="C38" s="63"/>
      <c r="D38" s="63"/>
      <c r="E38" s="63"/>
      <c r="F38" s="64"/>
      <c r="G38" s="63"/>
      <c r="H38" s="63"/>
      <c r="I38" s="63"/>
    </row>
    <row r="39" customFormat="false" ht="18.75" hidden="false" customHeight="true" outlineLevel="0" collapsed="false">
      <c r="B39" s="61"/>
      <c r="C39" s="61"/>
      <c r="D39" s="61"/>
      <c r="E39" s="61"/>
      <c r="F39" s="62"/>
      <c r="G39" s="61"/>
      <c r="H39" s="61"/>
      <c r="I39" s="61"/>
    </row>
    <row r="40" customFormat="false" ht="18.75" hidden="false" customHeight="true" outlineLevel="0" collapsed="false">
      <c r="B40" s="63"/>
      <c r="C40" s="63"/>
      <c r="D40" s="63"/>
      <c r="E40" s="63"/>
      <c r="F40" s="64"/>
      <c r="G40" s="63"/>
      <c r="H40" s="63"/>
      <c r="I40" s="63"/>
    </row>
    <row r="41" customFormat="false" ht="18.75" hidden="false" customHeight="true" outlineLevel="0" collapsed="false">
      <c r="B41" s="61"/>
      <c r="C41" s="61"/>
      <c r="D41" s="61"/>
      <c r="E41" s="61"/>
      <c r="F41" s="62"/>
      <c r="G41" s="61"/>
      <c r="H41" s="61"/>
      <c r="I41" s="61"/>
    </row>
    <row r="42" customFormat="false" ht="18.75" hidden="false" customHeight="true" outlineLevel="0" collapsed="false">
      <c r="B42" s="63"/>
      <c r="C42" s="63"/>
      <c r="D42" s="63"/>
      <c r="E42" s="63"/>
      <c r="F42" s="64"/>
      <c r="G42" s="63"/>
      <c r="H42" s="63"/>
      <c r="I42" s="63"/>
    </row>
    <row r="43" customFormat="false" ht="18.75" hidden="false" customHeight="true" outlineLevel="0" collapsed="false">
      <c r="B43" s="61"/>
      <c r="C43" s="61"/>
      <c r="D43" s="61"/>
      <c r="E43" s="61"/>
      <c r="F43" s="62"/>
      <c r="G43" s="61"/>
      <c r="H43" s="61"/>
      <c r="I43" s="61"/>
    </row>
    <row r="44" customFormat="false" ht="18.75" hidden="false" customHeight="true" outlineLevel="0" collapsed="false">
      <c r="B44" s="63"/>
      <c r="C44" s="63"/>
      <c r="D44" s="63"/>
      <c r="E44" s="63"/>
      <c r="F44" s="64"/>
      <c r="G44" s="63"/>
      <c r="H44" s="63"/>
      <c r="I44" s="63"/>
    </row>
    <row r="45" customFormat="false" ht="18.75" hidden="false" customHeight="true" outlineLevel="0" collapsed="false">
      <c r="B45" s="61"/>
      <c r="C45" s="61"/>
      <c r="D45" s="61"/>
      <c r="E45" s="61"/>
      <c r="F45" s="62"/>
      <c r="G45" s="61"/>
      <c r="H45" s="61"/>
      <c r="I45" s="61"/>
    </row>
    <row r="46" customFormat="false" ht="18.75" hidden="false" customHeight="true" outlineLevel="0" collapsed="false">
      <c r="B46" s="63"/>
      <c r="C46" s="63"/>
      <c r="D46" s="63"/>
      <c r="E46" s="63"/>
      <c r="F46" s="64"/>
      <c r="G46" s="63"/>
      <c r="H46" s="63"/>
      <c r="I46" s="63"/>
    </row>
    <row r="47" customFormat="false" ht="18.75" hidden="false" customHeight="true" outlineLevel="0" collapsed="false">
      <c r="B47" s="61"/>
      <c r="C47" s="61"/>
      <c r="D47" s="61"/>
      <c r="E47" s="61"/>
      <c r="F47" s="62"/>
      <c r="G47" s="61"/>
      <c r="H47" s="61"/>
      <c r="I47" s="61"/>
    </row>
    <row r="48" customFormat="false" ht="18.75" hidden="false" customHeight="true" outlineLevel="0" collapsed="false">
      <c r="B48" s="63"/>
      <c r="C48" s="63"/>
      <c r="D48" s="63"/>
      <c r="E48" s="63"/>
      <c r="F48" s="64"/>
      <c r="G48" s="63"/>
      <c r="H48" s="63"/>
      <c r="I48" s="63"/>
    </row>
    <row r="49" customFormat="false" ht="18.75" hidden="false" customHeight="true" outlineLevel="0" collapsed="false">
      <c r="B49" s="61"/>
      <c r="C49" s="61"/>
      <c r="D49" s="61"/>
      <c r="E49" s="61"/>
      <c r="F49" s="62"/>
      <c r="G49" s="61"/>
      <c r="H49" s="61"/>
      <c r="I49" s="61"/>
    </row>
    <row r="50" customFormat="false" ht="18.75" hidden="false" customHeight="true" outlineLevel="0" collapsed="false">
      <c r="B50" s="63"/>
      <c r="C50" s="63"/>
      <c r="D50" s="63"/>
      <c r="E50" s="63"/>
      <c r="F50" s="64"/>
      <c r="G50" s="63"/>
      <c r="H50" s="63"/>
      <c r="I50" s="63"/>
    </row>
    <row r="51" customFormat="false" ht="18.75" hidden="false" customHeight="true" outlineLevel="0" collapsed="false">
      <c r="B51" s="61"/>
      <c r="C51" s="61"/>
      <c r="D51" s="61"/>
      <c r="E51" s="61"/>
      <c r="F51" s="62"/>
      <c r="G51" s="61"/>
      <c r="H51" s="61"/>
      <c r="I51" s="61"/>
    </row>
    <row r="52" customFormat="false" ht="18.75" hidden="false" customHeight="true" outlineLevel="0" collapsed="false">
      <c r="B52" s="63"/>
      <c r="C52" s="63"/>
      <c r="D52" s="63"/>
      <c r="E52" s="63"/>
      <c r="F52" s="64"/>
      <c r="G52" s="63"/>
      <c r="H52" s="63"/>
      <c r="I52" s="63"/>
    </row>
    <row r="53" customFormat="false" ht="18.75" hidden="false" customHeight="true" outlineLevel="0" collapsed="false">
      <c r="B53" s="61"/>
      <c r="C53" s="61"/>
      <c r="D53" s="61"/>
      <c r="E53" s="61"/>
      <c r="F53" s="62"/>
      <c r="G53" s="61"/>
      <c r="H53" s="61"/>
      <c r="I53" s="61"/>
    </row>
    <row r="54" customFormat="false" ht="18.75" hidden="false" customHeight="true" outlineLevel="0" collapsed="false">
      <c r="B54" s="63"/>
      <c r="C54" s="63"/>
      <c r="D54" s="63"/>
      <c r="E54" s="63"/>
      <c r="F54" s="64"/>
      <c r="G54" s="63"/>
      <c r="H54" s="63"/>
      <c r="I54" s="63"/>
    </row>
    <row r="55" customFormat="false" ht="18.75" hidden="false" customHeight="true" outlineLevel="0" collapsed="false">
      <c r="B55" s="61"/>
      <c r="C55" s="61"/>
      <c r="D55" s="61"/>
      <c r="E55" s="61"/>
      <c r="F55" s="62"/>
      <c r="G55" s="61"/>
      <c r="H55" s="61"/>
      <c r="I55" s="61"/>
    </row>
    <row r="56" customFormat="false" ht="18.75" hidden="false" customHeight="true" outlineLevel="0" collapsed="false">
      <c r="B56" s="63"/>
      <c r="C56" s="63"/>
      <c r="D56" s="63"/>
      <c r="E56" s="63"/>
      <c r="F56" s="64"/>
      <c r="G56" s="63"/>
      <c r="H56" s="63"/>
      <c r="I56" s="63"/>
    </row>
    <row r="57" customFormat="false" ht="18.75" hidden="false" customHeight="true" outlineLevel="0" collapsed="false">
      <c r="B57" s="61"/>
      <c r="C57" s="61"/>
      <c r="D57" s="61"/>
      <c r="E57" s="61"/>
      <c r="F57" s="62"/>
      <c r="G57" s="61"/>
      <c r="H57" s="61"/>
      <c r="I57" s="61"/>
    </row>
    <row r="58" customFormat="false" ht="18.75" hidden="false" customHeight="true" outlineLevel="0" collapsed="false">
      <c r="B58" s="63"/>
      <c r="C58" s="63"/>
      <c r="D58" s="63"/>
      <c r="E58" s="63"/>
      <c r="F58" s="64"/>
      <c r="G58" s="63"/>
      <c r="H58" s="63"/>
      <c r="I58" s="63"/>
    </row>
    <row r="59" customFormat="false" ht="18.75" hidden="false" customHeight="true" outlineLevel="0" collapsed="false">
      <c r="B59" s="61"/>
      <c r="C59" s="61"/>
      <c r="D59" s="61"/>
      <c r="E59" s="61"/>
      <c r="F59" s="62"/>
      <c r="G59" s="61"/>
      <c r="H59" s="61"/>
      <c r="I59" s="61"/>
    </row>
    <row r="60" customFormat="false" ht="18.75" hidden="false" customHeight="true" outlineLevel="0" collapsed="false">
      <c r="B60" s="63"/>
      <c r="C60" s="63"/>
      <c r="D60" s="63"/>
      <c r="E60" s="63"/>
      <c r="F60" s="64"/>
      <c r="G60" s="63"/>
      <c r="H60" s="63"/>
      <c r="I60" s="63"/>
    </row>
    <row r="61" customFormat="false" ht="18.75" hidden="false" customHeight="true" outlineLevel="0" collapsed="false">
      <c r="B61" s="61"/>
      <c r="C61" s="61"/>
      <c r="D61" s="61"/>
      <c r="E61" s="61"/>
      <c r="F61" s="62"/>
      <c r="G61" s="61"/>
      <c r="H61" s="61"/>
      <c r="I61" s="61"/>
    </row>
    <row r="62" customFormat="false" ht="18.75" hidden="false" customHeight="true" outlineLevel="0" collapsed="false">
      <c r="B62" s="63"/>
      <c r="C62" s="63"/>
      <c r="D62" s="63"/>
      <c r="E62" s="63"/>
      <c r="F62" s="64"/>
      <c r="G62" s="63"/>
      <c r="H62" s="63"/>
      <c r="I62" s="63"/>
    </row>
    <row r="63" customFormat="false" ht="18.75" hidden="false" customHeight="true" outlineLevel="0" collapsed="false">
      <c r="B63" s="61"/>
      <c r="C63" s="61"/>
      <c r="D63" s="61"/>
      <c r="E63" s="61"/>
      <c r="F63" s="62"/>
      <c r="G63" s="61"/>
      <c r="H63" s="61"/>
      <c r="I63" s="61"/>
    </row>
    <row r="64" customFormat="false" ht="18.75" hidden="false" customHeight="true" outlineLevel="0" collapsed="false">
      <c r="B64" s="63"/>
      <c r="C64" s="63"/>
      <c r="D64" s="63"/>
      <c r="E64" s="63"/>
      <c r="F64" s="64"/>
      <c r="G64" s="63"/>
      <c r="H64" s="63"/>
      <c r="I64" s="63"/>
    </row>
    <row r="65" customFormat="false" ht="18.75" hidden="false" customHeight="true" outlineLevel="0" collapsed="false">
      <c r="B65" s="61"/>
      <c r="C65" s="61"/>
      <c r="D65" s="61"/>
      <c r="E65" s="61"/>
      <c r="F65" s="62"/>
      <c r="G65" s="61"/>
      <c r="H65" s="61"/>
      <c r="I65" s="61"/>
    </row>
    <row r="66" customFormat="false" ht="18.75" hidden="false" customHeight="true" outlineLevel="0" collapsed="false">
      <c r="B66" s="63"/>
      <c r="C66" s="63"/>
      <c r="D66" s="63"/>
      <c r="E66" s="63"/>
      <c r="F66" s="64"/>
      <c r="G66" s="63"/>
      <c r="H66" s="63"/>
      <c r="I66" s="63"/>
    </row>
    <row r="67" customFormat="false" ht="18.75" hidden="false" customHeight="true" outlineLevel="0" collapsed="false">
      <c r="B67" s="61"/>
      <c r="C67" s="61"/>
      <c r="D67" s="61"/>
      <c r="E67" s="61"/>
      <c r="F67" s="62"/>
      <c r="G67" s="61"/>
      <c r="H67" s="61"/>
      <c r="I67" s="61"/>
    </row>
    <row r="68" customFormat="false" ht="18.75" hidden="false" customHeight="true" outlineLevel="0" collapsed="false">
      <c r="B68" s="63"/>
      <c r="C68" s="63"/>
      <c r="D68" s="63"/>
      <c r="E68" s="63"/>
      <c r="F68" s="64"/>
      <c r="G68" s="63"/>
      <c r="H68" s="63"/>
      <c r="I68" s="63"/>
    </row>
    <row r="69" customFormat="false" ht="18.75" hidden="false" customHeight="true" outlineLevel="0" collapsed="false">
      <c r="B69" s="61"/>
      <c r="C69" s="61"/>
      <c r="D69" s="61"/>
      <c r="E69" s="61"/>
      <c r="F69" s="62"/>
      <c r="G69" s="61"/>
      <c r="H69" s="61"/>
      <c r="I69" s="61"/>
    </row>
    <row r="70" customFormat="false" ht="18.75" hidden="false" customHeight="true" outlineLevel="0" collapsed="false">
      <c r="B70" s="63"/>
      <c r="C70" s="63"/>
      <c r="D70" s="63"/>
      <c r="E70" s="63"/>
      <c r="F70" s="64"/>
      <c r="G70" s="63"/>
      <c r="H70" s="63"/>
      <c r="I70" s="63"/>
    </row>
    <row r="71" customFormat="false" ht="18.75" hidden="false" customHeight="true" outlineLevel="0" collapsed="false">
      <c r="B71" s="61"/>
      <c r="C71" s="61"/>
      <c r="D71" s="61"/>
      <c r="E71" s="61"/>
      <c r="F71" s="62"/>
      <c r="G71" s="61"/>
      <c r="H71" s="61"/>
      <c r="I71" s="61"/>
    </row>
    <row r="72" customFormat="false" ht="18.75" hidden="false" customHeight="true" outlineLevel="0" collapsed="false">
      <c r="B72" s="63"/>
      <c r="C72" s="63"/>
      <c r="D72" s="63"/>
      <c r="E72" s="63"/>
      <c r="F72" s="64"/>
      <c r="G72" s="63"/>
      <c r="H72" s="63"/>
      <c r="I72" s="63"/>
    </row>
    <row r="73" customFormat="false" ht="18.75" hidden="false" customHeight="true" outlineLevel="0" collapsed="false">
      <c r="B73" s="61"/>
      <c r="C73" s="61"/>
      <c r="D73" s="61"/>
      <c r="E73" s="61"/>
      <c r="F73" s="62"/>
      <c r="G73" s="61"/>
      <c r="H73" s="61"/>
      <c r="I73" s="61"/>
    </row>
    <row r="74" customFormat="false" ht="18.75" hidden="false" customHeight="true" outlineLevel="0" collapsed="false">
      <c r="B74" s="63"/>
      <c r="C74" s="63"/>
      <c r="D74" s="63"/>
      <c r="E74" s="63"/>
      <c r="F74" s="64"/>
      <c r="G74" s="63"/>
      <c r="H74" s="63"/>
      <c r="I74" s="63"/>
    </row>
    <row r="75" customFormat="false" ht="18.75" hidden="false" customHeight="true" outlineLevel="0" collapsed="false">
      <c r="B75" s="61"/>
      <c r="C75" s="61"/>
      <c r="D75" s="61"/>
      <c r="E75" s="61"/>
      <c r="F75" s="62"/>
      <c r="G75" s="61"/>
      <c r="H75" s="61"/>
      <c r="I75" s="61"/>
    </row>
    <row r="76" customFormat="false" ht="18.75" hidden="false" customHeight="true" outlineLevel="0" collapsed="false">
      <c r="B76" s="63"/>
      <c r="C76" s="63"/>
      <c r="D76" s="63"/>
      <c r="E76" s="63"/>
      <c r="F76" s="64"/>
      <c r="G76" s="63"/>
      <c r="H76" s="63"/>
      <c r="I76" s="63"/>
    </row>
    <row r="77" customFormat="false" ht="18.75" hidden="false" customHeight="true" outlineLevel="0" collapsed="false">
      <c r="B77" s="61"/>
      <c r="C77" s="61"/>
      <c r="D77" s="61"/>
      <c r="E77" s="61"/>
      <c r="F77" s="62"/>
      <c r="G77" s="61"/>
      <c r="H77" s="61"/>
      <c r="I77" s="61"/>
    </row>
    <row r="78" customFormat="false" ht="18.75" hidden="false" customHeight="true" outlineLevel="0" collapsed="false">
      <c r="B78" s="63"/>
      <c r="C78" s="63"/>
      <c r="D78" s="63"/>
      <c r="E78" s="63"/>
      <c r="F78" s="64"/>
      <c r="G78" s="63"/>
      <c r="H78" s="63"/>
      <c r="I78" s="63"/>
    </row>
    <row r="79" customFormat="false" ht="18.75" hidden="false" customHeight="true" outlineLevel="0" collapsed="false">
      <c r="B79" s="61"/>
      <c r="C79" s="61"/>
      <c r="D79" s="61"/>
      <c r="E79" s="61"/>
      <c r="F79" s="62"/>
      <c r="G79" s="61"/>
      <c r="H79" s="61"/>
      <c r="I79" s="61"/>
    </row>
    <row r="80" customFormat="false" ht="18.75" hidden="false" customHeight="true" outlineLevel="0" collapsed="false">
      <c r="B80" s="63"/>
      <c r="C80" s="63"/>
      <c r="D80" s="63"/>
      <c r="E80" s="63"/>
      <c r="F80" s="64"/>
      <c r="G80" s="63"/>
      <c r="H80" s="63"/>
      <c r="I80" s="63"/>
    </row>
    <row r="81" customFormat="false" ht="18.75" hidden="false" customHeight="true" outlineLevel="0" collapsed="false">
      <c r="B81" s="61"/>
      <c r="C81" s="61"/>
      <c r="D81" s="61"/>
      <c r="E81" s="61"/>
      <c r="F81" s="62"/>
      <c r="G81" s="61"/>
      <c r="H81" s="61"/>
      <c r="I81" s="61"/>
    </row>
    <row r="82" customFormat="false" ht="18.75" hidden="false" customHeight="true" outlineLevel="0" collapsed="false">
      <c r="B82" s="63"/>
      <c r="C82" s="63"/>
      <c r="D82" s="63"/>
      <c r="E82" s="63"/>
      <c r="F82" s="64"/>
      <c r="G82" s="63"/>
      <c r="H82" s="63"/>
      <c r="I82" s="63"/>
    </row>
    <row r="83" customFormat="false" ht="18.75" hidden="false" customHeight="true" outlineLevel="0" collapsed="false">
      <c r="B83" s="61"/>
      <c r="C83" s="61"/>
      <c r="D83" s="61"/>
      <c r="E83" s="61"/>
      <c r="F83" s="62"/>
      <c r="G83" s="61"/>
      <c r="H83" s="61"/>
      <c r="I83" s="61"/>
    </row>
    <row r="84" customFormat="false" ht="18.75" hidden="false" customHeight="true" outlineLevel="0" collapsed="false">
      <c r="B84" s="63"/>
      <c r="C84" s="63"/>
      <c r="D84" s="63"/>
      <c r="E84" s="63"/>
      <c r="F84" s="64"/>
      <c r="G84" s="63"/>
      <c r="H84" s="63"/>
      <c r="I84" s="63"/>
    </row>
    <row r="85" customFormat="false" ht="18.75" hidden="false" customHeight="true" outlineLevel="0" collapsed="false">
      <c r="B85" s="61"/>
      <c r="C85" s="61"/>
      <c r="D85" s="61"/>
      <c r="E85" s="61"/>
      <c r="F85" s="62"/>
      <c r="G85" s="61"/>
      <c r="H85" s="61"/>
      <c r="I85" s="61"/>
    </row>
    <row r="86" customFormat="false" ht="18.75" hidden="false" customHeight="true" outlineLevel="0" collapsed="false">
      <c r="B86" s="63"/>
      <c r="C86" s="63"/>
      <c r="D86" s="63"/>
      <c r="E86" s="63"/>
      <c r="F86" s="64"/>
      <c r="G86" s="63"/>
      <c r="H86" s="63"/>
      <c r="I86" s="63"/>
    </row>
    <row r="87" customFormat="false" ht="18.75" hidden="false" customHeight="true" outlineLevel="0" collapsed="false">
      <c r="B87" s="61"/>
      <c r="C87" s="61"/>
      <c r="D87" s="61"/>
      <c r="E87" s="61"/>
      <c r="F87" s="62"/>
      <c r="G87" s="61"/>
      <c r="H87" s="61"/>
      <c r="I87" s="61"/>
    </row>
    <row r="88" customFormat="false" ht="18.75" hidden="false" customHeight="true" outlineLevel="0" collapsed="false">
      <c r="B88" s="63"/>
      <c r="C88" s="63"/>
      <c r="D88" s="63"/>
      <c r="E88" s="63"/>
      <c r="F88" s="64"/>
      <c r="G88" s="63"/>
      <c r="H88" s="63"/>
      <c r="I88" s="63"/>
    </row>
    <row r="89" customFormat="false" ht="18.75" hidden="false" customHeight="true" outlineLevel="0" collapsed="false">
      <c r="B89" s="61"/>
      <c r="C89" s="61"/>
      <c r="D89" s="61"/>
      <c r="E89" s="61"/>
      <c r="F89" s="62"/>
      <c r="G89" s="61"/>
      <c r="H89" s="61"/>
      <c r="I89" s="61"/>
    </row>
    <row r="90" customFormat="false" ht="18.75" hidden="false" customHeight="true" outlineLevel="0" collapsed="false">
      <c r="B90" s="63"/>
      <c r="C90" s="63"/>
      <c r="D90" s="63"/>
      <c r="E90" s="63"/>
      <c r="F90" s="64"/>
      <c r="G90" s="63"/>
      <c r="H90" s="63"/>
      <c r="I90" s="63"/>
    </row>
    <row r="91" customFormat="false" ht="18.75" hidden="false" customHeight="true" outlineLevel="0" collapsed="false">
      <c r="B91" s="61"/>
      <c r="C91" s="61"/>
      <c r="D91" s="61"/>
      <c r="E91" s="61"/>
      <c r="F91" s="62"/>
      <c r="G91" s="61"/>
      <c r="H91" s="61"/>
      <c r="I91" s="61"/>
    </row>
    <row r="92" customFormat="false" ht="18.75" hidden="false" customHeight="true" outlineLevel="0" collapsed="false">
      <c r="B92" s="63"/>
      <c r="C92" s="63"/>
      <c r="D92" s="63"/>
      <c r="E92" s="63"/>
      <c r="F92" s="64"/>
      <c r="G92" s="63"/>
      <c r="H92" s="63"/>
      <c r="I92" s="63"/>
    </row>
    <row r="93" customFormat="false" ht="18.75" hidden="false" customHeight="true" outlineLevel="0" collapsed="false">
      <c r="B93" s="61"/>
      <c r="C93" s="61"/>
      <c r="D93" s="61"/>
      <c r="E93" s="61"/>
      <c r="F93" s="62"/>
      <c r="G93" s="61"/>
      <c r="H93" s="61"/>
      <c r="I93" s="61"/>
    </row>
    <row r="94" customFormat="false" ht="18.75" hidden="false" customHeight="true" outlineLevel="0" collapsed="false">
      <c r="B94" s="63"/>
      <c r="C94" s="63"/>
      <c r="D94" s="63"/>
      <c r="E94" s="63"/>
      <c r="F94" s="64"/>
      <c r="G94" s="63"/>
      <c r="H94" s="63"/>
      <c r="I94" s="63"/>
    </row>
    <row r="95" customFormat="false" ht="18.75" hidden="false" customHeight="true" outlineLevel="0" collapsed="false">
      <c r="B95" s="61"/>
      <c r="C95" s="61"/>
      <c r="D95" s="61"/>
      <c r="E95" s="61"/>
      <c r="F95" s="62"/>
      <c r="G95" s="61"/>
      <c r="H95" s="61"/>
      <c r="I95" s="61"/>
    </row>
    <row r="96" customFormat="false" ht="18.75" hidden="false" customHeight="true" outlineLevel="0" collapsed="false">
      <c r="B96" s="63"/>
      <c r="C96" s="63"/>
      <c r="D96" s="63"/>
      <c r="E96" s="63"/>
      <c r="F96" s="64"/>
      <c r="G96" s="63"/>
      <c r="H96" s="63"/>
      <c r="I96" s="63"/>
    </row>
    <row r="97" customFormat="false" ht="18.75" hidden="false" customHeight="true" outlineLevel="0" collapsed="false">
      <c r="B97" s="61"/>
      <c r="C97" s="61"/>
      <c r="D97" s="61"/>
      <c r="E97" s="61"/>
      <c r="F97" s="62"/>
      <c r="G97" s="61"/>
      <c r="H97" s="61"/>
      <c r="I97" s="61"/>
    </row>
    <row r="98" customFormat="false" ht="18.75" hidden="false" customHeight="true" outlineLevel="0" collapsed="false">
      <c r="B98" s="63"/>
      <c r="C98" s="63"/>
      <c r="D98" s="63"/>
      <c r="E98" s="63"/>
      <c r="F98" s="64"/>
      <c r="G98" s="63"/>
      <c r="H98" s="63"/>
      <c r="I98" s="63"/>
    </row>
    <row r="99" customFormat="false" ht="18.75" hidden="false" customHeight="true" outlineLevel="0" collapsed="false">
      <c r="B99" s="61"/>
      <c r="C99" s="61"/>
      <c r="D99" s="61"/>
      <c r="E99" s="61"/>
      <c r="F99" s="62"/>
      <c r="G99" s="61"/>
      <c r="H99" s="61"/>
      <c r="I99" s="61"/>
    </row>
    <row r="100" customFormat="false" ht="18.75" hidden="false" customHeight="true" outlineLevel="0" collapsed="false">
      <c r="B100" s="63"/>
      <c r="C100" s="63"/>
      <c r="D100" s="63"/>
      <c r="E100" s="63"/>
      <c r="F100" s="64"/>
      <c r="G100" s="63"/>
      <c r="H100" s="63"/>
      <c r="I100" s="63"/>
    </row>
    <row r="101" customFormat="false" ht="18.75" hidden="false" customHeight="true" outlineLevel="0" collapsed="false">
      <c r="B101" s="61"/>
      <c r="C101" s="61"/>
      <c r="D101" s="61"/>
      <c r="E101" s="61"/>
      <c r="F101" s="62"/>
      <c r="G101" s="61"/>
      <c r="H101" s="61"/>
      <c r="I101" s="61"/>
    </row>
    <row r="102" customFormat="false" ht="18.75" hidden="false" customHeight="true" outlineLevel="0" collapsed="false">
      <c r="B102" s="63"/>
      <c r="C102" s="63"/>
      <c r="D102" s="63"/>
      <c r="E102" s="63"/>
      <c r="F102" s="64"/>
      <c r="G102" s="63"/>
      <c r="H102" s="63"/>
      <c r="I102" s="63"/>
    </row>
    <row r="103" customFormat="false" ht="18.75" hidden="false" customHeight="true" outlineLevel="0" collapsed="false">
      <c r="B103" s="61"/>
      <c r="C103" s="61"/>
      <c r="D103" s="61"/>
      <c r="E103" s="61"/>
      <c r="F103" s="62"/>
      <c r="G103" s="61"/>
      <c r="H103" s="61"/>
      <c r="I103" s="61"/>
    </row>
    <row r="104" customFormat="false" ht="18.75" hidden="false" customHeight="true" outlineLevel="0" collapsed="false">
      <c r="B104" s="63"/>
      <c r="C104" s="63"/>
      <c r="D104" s="63"/>
      <c r="E104" s="63"/>
      <c r="F104" s="64"/>
      <c r="G104" s="63"/>
      <c r="H104" s="63"/>
      <c r="I104" s="63"/>
    </row>
    <row r="105" customFormat="false" ht="18.75" hidden="false" customHeight="true" outlineLevel="0" collapsed="false">
      <c r="B105" s="61"/>
      <c r="C105" s="61"/>
      <c r="D105" s="61"/>
      <c r="E105" s="61"/>
      <c r="F105" s="62"/>
      <c r="G105" s="61"/>
      <c r="H105" s="61"/>
      <c r="I105" s="61"/>
    </row>
    <row r="106" customFormat="false" ht="18.75" hidden="false" customHeight="true" outlineLevel="0" collapsed="false">
      <c r="B106" s="63"/>
      <c r="C106" s="63"/>
      <c r="D106" s="63"/>
      <c r="E106" s="63"/>
      <c r="F106" s="64"/>
      <c r="G106" s="63"/>
      <c r="H106" s="63"/>
      <c r="I106" s="63"/>
    </row>
    <row r="107" customFormat="false" ht="18.75" hidden="false" customHeight="true" outlineLevel="0" collapsed="false">
      <c r="B107" s="61"/>
      <c r="C107" s="61"/>
      <c r="D107" s="61"/>
      <c r="E107" s="61"/>
      <c r="F107" s="62"/>
      <c r="G107" s="61"/>
      <c r="H107" s="61"/>
      <c r="I107" s="61"/>
    </row>
    <row r="108" customFormat="false" ht="18.75" hidden="false" customHeight="true" outlineLevel="0" collapsed="false">
      <c r="B108" s="65" t="s">
        <v>96</v>
      </c>
      <c r="C108" s="65"/>
      <c r="D108" s="65"/>
      <c r="E108" s="65"/>
      <c r="F108" s="66" t="n">
        <f aca="false">SUM(E8:E107)</f>
        <v>0</v>
      </c>
    </row>
    <row r="109" customFormat="false" ht="18.75" hidden="false" customHeight="true" outlineLevel="0" collapsed="false"/>
    <row r="110" customFormat="false" ht="18.75" hidden="false" customHeight="true" outlineLevel="0" collapsed="false">
      <c r="B110" s="67" t="s">
        <v>97</v>
      </c>
      <c r="C110" s="67"/>
      <c r="D110" s="67"/>
      <c r="E110" s="67"/>
      <c r="F110" s="67"/>
      <c r="G110" s="67"/>
      <c r="H110" s="67"/>
    </row>
    <row r="111" customFormat="false" ht="18.75" hidden="false" customHeight="true" outlineLevel="0" collapsed="false"/>
    <row r="112" customFormat="false" ht="18.75" hidden="false" customHeight="true" outlineLevel="0" collapsed="false"/>
    <row r="113" customFormat="false" ht="18.75" hidden="false" customHeight="true" outlineLevel="0" collapsed="false"/>
    <row r="114" customFormat="false" ht="18.75" hidden="false" customHeight="true" outlineLevel="0" collapsed="false"/>
    <row r="115" customFormat="false" ht="18.75" hidden="false" customHeight="true" outlineLevel="0" collapsed="false"/>
    <row r="116" customFormat="false" ht="18.75" hidden="false" customHeight="true" outlineLevel="0" collapsed="false"/>
    <row r="117" customFormat="false" ht="18.75" hidden="false" customHeight="true" outlineLevel="0" collapsed="false"/>
    <row r="118" customFormat="false" ht="18.75" hidden="false" customHeight="true" outlineLevel="0" collapsed="false"/>
    <row r="119" customFormat="false" ht="18.75" hidden="false" customHeight="true" outlineLevel="0" collapsed="false"/>
  </sheetData>
  <mergeCells count="9">
    <mergeCell ref="B1:H2"/>
    <mergeCell ref="B4:C4"/>
    <mergeCell ref="D4:E4"/>
    <mergeCell ref="F4:G4"/>
    <mergeCell ref="B5:C5"/>
    <mergeCell ref="D5:E5"/>
    <mergeCell ref="F5:G5"/>
    <mergeCell ref="B108:E108"/>
    <mergeCell ref="B110:H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4"/>
  </cols>
  <sheetData>
    <row r="1" customFormat="false" ht="18.75" hidden="false" customHeight="true" outlineLevel="0" collapsed="false">
      <c r="B1" s="48" t="s">
        <v>161</v>
      </c>
      <c r="C1" s="48"/>
      <c r="D1" s="48"/>
      <c r="E1" s="48"/>
      <c r="F1" s="48"/>
      <c r="G1" s="48"/>
      <c r="H1" s="48"/>
    </row>
    <row r="2" customFormat="false" ht="18.75" hidden="false" customHeight="true" outlineLevel="0" collapsed="false">
      <c r="B2" s="48"/>
      <c r="C2" s="48"/>
      <c r="D2" s="48"/>
      <c r="E2" s="48"/>
      <c r="F2" s="48"/>
      <c r="G2" s="48"/>
      <c r="H2" s="48"/>
    </row>
    <row r="3" customFormat="false" ht="18.75" hidden="false" customHeight="true" outlineLevel="0" collapsed="false"/>
    <row r="4" customFormat="false" ht="18.75" hidden="false" customHeight="true" outlineLevel="0" collapsed="false">
      <c r="B4" s="49" t="s">
        <v>51</v>
      </c>
      <c r="C4" s="49"/>
      <c r="D4" s="50" t="s">
        <v>52</v>
      </c>
      <c r="E4" s="50"/>
      <c r="F4" s="51" t="s">
        <v>53</v>
      </c>
      <c r="G4" s="51"/>
    </row>
    <row r="5" customFormat="false" ht="18.75" hidden="false" customHeight="true" outlineLevel="0" collapsed="false">
      <c r="B5" s="52" t="n">
        <f aca="false">SUMIF(C8:C107,"Receita",E8:E107)</f>
        <v>0</v>
      </c>
      <c r="C5" s="52"/>
      <c r="D5" s="53" t="n">
        <f aca="false">SUMIF(C8:C107,"Despesa",E8:E107)</f>
        <v>0</v>
      </c>
      <c r="E5" s="53"/>
      <c r="F5" s="54" t="n">
        <f aca="false">B5-D5</f>
        <v>0</v>
      </c>
      <c r="G5" s="54"/>
    </row>
    <row r="6" customFormat="false" ht="18.75" hidden="false" customHeight="true" outlineLevel="0" collapsed="false"/>
    <row r="7" customFormat="false" ht="18.75" hidden="false" customHeight="true" outlineLevel="0" collapsed="false">
      <c r="B7" s="24" t="s">
        <v>54</v>
      </c>
      <c r="C7" s="24" t="s">
        <v>55</v>
      </c>
      <c r="D7" s="24" t="s">
        <v>20</v>
      </c>
      <c r="E7" s="24" t="s">
        <v>19</v>
      </c>
      <c r="F7" s="24" t="s">
        <v>56</v>
      </c>
      <c r="G7" s="24" t="s">
        <v>25</v>
      </c>
      <c r="H7" s="24" t="s">
        <v>57</v>
      </c>
      <c r="I7" s="24" t="s">
        <v>58</v>
      </c>
    </row>
    <row r="8" customFormat="false" ht="18.75" hidden="false" customHeight="true" outlineLevel="0" collapsed="false">
      <c r="B8" s="55" t="s">
        <v>162</v>
      </c>
      <c r="C8" s="56" t="s">
        <v>60</v>
      </c>
      <c r="D8" s="55" t="s">
        <v>61</v>
      </c>
      <c r="E8" s="55" t="s">
        <v>62</v>
      </c>
      <c r="F8" s="57" t="n">
        <v>3500</v>
      </c>
      <c r="G8" s="55" t="s">
        <v>63</v>
      </c>
      <c r="H8" s="55" t="s">
        <v>64</v>
      </c>
      <c r="I8" s="55" t="s">
        <v>65</v>
      </c>
    </row>
    <row r="9" customFormat="false" ht="18.75" hidden="false" customHeight="true" outlineLevel="0" collapsed="false">
      <c r="B9" s="58" t="s">
        <v>162</v>
      </c>
      <c r="C9" s="59" t="s">
        <v>66</v>
      </c>
      <c r="D9" s="58" t="s">
        <v>61</v>
      </c>
      <c r="E9" s="58" t="s">
        <v>62</v>
      </c>
      <c r="F9" s="60" t="n">
        <v>500</v>
      </c>
      <c r="G9" s="58" t="s">
        <v>63</v>
      </c>
      <c r="H9" s="58" t="s">
        <v>67</v>
      </c>
      <c r="I9" s="58" t="s">
        <v>68</v>
      </c>
    </row>
    <row r="10" customFormat="false" ht="18.75" hidden="false" customHeight="true" outlineLevel="0" collapsed="false">
      <c r="B10" s="55" t="s">
        <v>163</v>
      </c>
      <c r="C10" s="56" t="s">
        <v>70</v>
      </c>
      <c r="D10" s="55" t="s">
        <v>71</v>
      </c>
      <c r="E10" s="55" t="s">
        <v>26</v>
      </c>
      <c r="F10" s="57" t="n">
        <v>1200</v>
      </c>
      <c r="G10" s="55" t="s">
        <v>72</v>
      </c>
      <c r="H10" s="55" t="s">
        <v>73</v>
      </c>
      <c r="I10" s="55" t="s">
        <v>74</v>
      </c>
    </row>
    <row r="11" customFormat="false" ht="18.75" hidden="false" customHeight="true" outlineLevel="0" collapsed="false">
      <c r="B11" s="58" t="s">
        <v>164</v>
      </c>
      <c r="C11" s="59" t="s">
        <v>76</v>
      </c>
      <c r="D11" s="58" t="s">
        <v>71</v>
      </c>
      <c r="E11" s="58" t="s">
        <v>30</v>
      </c>
      <c r="F11" s="60" t="n">
        <v>450</v>
      </c>
      <c r="G11" s="58" t="s">
        <v>72</v>
      </c>
      <c r="H11" s="58" t="s">
        <v>77</v>
      </c>
      <c r="I11" s="58" t="s">
        <v>78</v>
      </c>
    </row>
    <row r="12" customFormat="false" ht="18.75" hidden="false" customHeight="true" outlineLevel="0" collapsed="false">
      <c r="B12" s="55" t="s">
        <v>165</v>
      </c>
      <c r="C12" s="56" t="s">
        <v>80</v>
      </c>
      <c r="D12" s="55" t="s">
        <v>71</v>
      </c>
      <c r="E12" s="55" t="s">
        <v>28</v>
      </c>
      <c r="F12" s="57" t="n">
        <v>150</v>
      </c>
      <c r="G12" s="55" t="s">
        <v>72</v>
      </c>
      <c r="H12" s="55" t="s">
        <v>81</v>
      </c>
      <c r="I12" s="55"/>
    </row>
    <row r="13" customFormat="false" ht="18.75" hidden="false" customHeight="true" outlineLevel="0" collapsed="false">
      <c r="B13" s="58" t="s">
        <v>166</v>
      </c>
      <c r="C13" s="59" t="s">
        <v>83</v>
      </c>
      <c r="D13" s="58" t="s">
        <v>71</v>
      </c>
      <c r="E13" s="58" t="s">
        <v>29</v>
      </c>
      <c r="F13" s="60" t="n">
        <v>200</v>
      </c>
      <c r="G13" s="58" t="s">
        <v>72</v>
      </c>
      <c r="H13" s="58" t="s">
        <v>84</v>
      </c>
      <c r="I13" s="58"/>
    </row>
    <row r="14" customFormat="false" ht="18.75" hidden="false" customHeight="true" outlineLevel="0" collapsed="false">
      <c r="B14" s="55" t="s">
        <v>167</v>
      </c>
      <c r="C14" s="56" t="s">
        <v>86</v>
      </c>
      <c r="D14" s="55" t="s">
        <v>71</v>
      </c>
      <c r="E14" s="55" t="s">
        <v>38</v>
      </c>
      <c r="F14" s="57" t="n">
        <v>500</v>
      </c>
      <c r="G14" s="55" t="s">
        <v>72</v>
      </c>
      <c r="H14" s="55" t="s">
        <v>87</v>
      </c>
      <c r="I14" s="55" t="s">
        <v>88</v>
      </c>
    </row>
    <row r="15" customFormat="false" ht="18.75" hidden="false" customHeight="true" outlineLevel="0" collapsed="false">
      <c r="B15" s="58" t="s">
        <v>168</v>
      </c>
      <c r="C15" s="59" t="s">
        <v>90</v>
      </c>
      <c r="D15" s="58" t="s">
        <v>71</v>
      </c>
      <c r="E15" s="58" t="s">
        <v>32</v>
      </c>
      <c r="F15" s="60" t="n">
        <v>100</v>
      </c>
      <c r="G15" s="58" t="s">
        <v>91</v>
      </c>
      <c r="H15" s="58" t="s">
        <v>92</v>
      </c>
      <c r="I15" s="58"/>
    </row>
    <row r="16" customFormat="false" ht="18.75" hidden="false" customHeight="true" outlineLevel="0" collapsed="false">
      <c r="B16" s="55" t="s">
        <v>169</v>
      </c>
      <c r="C16" s="56" t="s">
        <v>94</v>
      </c>
      <c r="D16" s="55" t="s">
        <v>71</v>
      </c>
      <c r="E16" s="55" t="s">
        <v>36</v>
      </c>
      <c r="F16" s="57" t="n">
        <v>60</v>
      </c>
      <c r="G16" s="55" t="s">
        <v>91</v>
      </c>
      <c r="H16" s="55" t="s">
        <v>95</v>
      </c>
      <c r="I16" s="55"/>
    </row>
    <row r="17" customFormat="false" ht="18.75" hidden="false" customHeight="true" outlineLevel="0" collapsed="false">
      <c r="B17" s="61"/>
      <c r="C17" s="61"/>
      <c r="D17" s="61"/>
      <c r="E17" s="61"/>
      <c r="F17" s="62"/>
      <c r="G17" s="61"/>
      <c r="H17" s="61"/>
      <c r="I17" s="61"/>
    </row>
    <row r="18" customFormat="false" ht="18.75" hidden="false" customHeight="true" outlineLevel="0" collapsed="false">
      <c r="B18" s="63"/>
      <c r="C18" s="63"/>
      <c r="D18" s="63"/>
      <c r="E18" s="63"/>
      <c r="F18" s="64"/>
      <c r="G18" s="63"/>
      <c r="H18" s="63"/>
      <c r="I18" s="63"/>
    </row>
    <row r="19" customFormat="false" ht="18.75" hidden="false" customHeight="true" outlineLevel="0" collapsed="false">
      <c r="B19" s="61"/>
      <c r="C19" s="61"/>
      <c r="D19" s="61"/>
      <c r="E19" s="61"/>
      <c r="F19" s="62"/>
      <c r="G19" s="61"/>
      <c r="H19" s="61"/>
      <c r="I19" s="61"/>
    </row>
    <row r="20" customFormat="false" ht="18.75" hidden="false" customHeight="true" outlineLevel="0" collapsed="false">
      <c r="B20" s="63"/>
      <c r="C20" s="63"/>
      <c r="D20" s="63"/>
      <c r="E20" s="63"/>
      <c r="F20" s="64"/>
      <c r="G20" s="63"/>
      <c r="H20" s="63"/>
      <c r="I20" s="63"/>
    </row>
    <row r="21" customFormat="false" ht="18.75" hidden="false" customHeight="true" outlineLevel="0" collapsed="false">
      <c r="B21" s="61"/>
      <c r="C21" s="61"/>
      <c r="D21" s="61"/>
      <c r="E21" s="61"/>
      <c r="F21" s="62"/>
      <c r="G21" s="61"/>
      <c r="H21" s="61"/>
      <c r="I21" s="61"/>
    </row>
    <row r="22" customFormat="false" ht="18.75" hidden="false" customHeight="true" outlineLevel="0" collapsed="false">
      <c r="B22" s="63"/>
      <c r="C22" s="63"/>
      <c r="D22" s="63"/>
      <c r="E22" s="63"/>
      <c r="F22" s="64"/>
      <c r="G22" s="63"/>
      <c r="H22" s="63"/>
      <c r="I22" s="63"/>
    </row>
    <row r="23" customFormat="false" ht="18.75" hidden="false" customHeight="true" outlineLevel="0" collapsed="false">
      <c r="B23" s="61"/>
      <c r="C23" s="61"/>
      <c r="D23" s="61"/>
      <c r="E23" s="61"/>
      <c r="F23" s="62"/>
      <c r="G23" s="61"/>
      <c r="H23" s="61"/>
      <c r="I23" s="61"/>
    </row>
    <row r="24" customFormat="false" ht="18.75" hidden="false" customHeight="true" outlineLevel="0" collapsed="false">
      <c r="B24" s="63"/>
      <c r="C24" s="63"/>
      <c r="D24" s="63"/>
      <c r="E24" s="63"/>
      <c r="F24" s="64"/>
      <c r="G24" s="63"/>
      <c r="H24" s="63"/>
      <c r="I24" s="63"/>
    </row>
    <row r="25" customFormat="false" ht="18.75" hidden="false" customHeight="true" outlineLevel="0" collapsed="false">
      <c r="B25" s="61"/>
      <c r="C25" s="61"/>
      <c r="D25" s="61"/>
      <c r="E25" s="61"/>
      <c r="F25" s="62"/>
      <c r="G25" s="61"/>
      <c r="H25" s="61"/>
      <c r="I25" s="61"/>
    </row>
    <row r="26" customFormat="false" ht="18.75" hidden="false" customHeight="true" outlineLevel="0" collapsed="false">
      <c r="B26" s="63"/>
      <c r="C26" s="63"/>
      <c r="D26" s="63"/>
      <c r="E26" s="63"/>
      <c r="F26" s="64"/>
      <c r="G26" s="63"/>
      <c r="H26" s="63"/>
      <c r="I26" s="63"/>
    </row>
    <row r="27" customFormat="false" ht="18.75" hidden="false" customHeight="true" outlineLevel="0" collapsed="false">
      <c r="B27" s="61"/>
      <c r="C27" s="61"/>
      <c r="D27" s="61"/>
      <c r="E27" s="61"/>
      <c r="F27" s="62"/>
      <c r="G27" s="61"/>
      <c r="H27" s="61"/>
      <c r="I27" s="61"/>
    </row>
    <row r="28" customFormat="false" ht="18.75" hidden="false" customHeight="true" outlineLevel="0" collapsed="false">
      <c r="B28" s="63"/>
      <c r="C28" s="63"/>
      <c r="D28" s="63"/>
      <c r="E28" s="63"/>
      <c r="F28" s="64"/>
      <c r="G28" s="63"/>
      <c r="H28" s="63"/>
      <c r="I28" s="63"/>
    </row>
    <row r="29" customFormat="false" ht="18.75" hidden="false" customHeight="true" outlineLevel="0" collapsed="false">
      <c r="B29" s="61"/>
      <c r="C29" s="61"/>
      <c r="D29" s="61"/>
      <c r="E29" s="61"/>
      <c r="F29" s="62"/>
      <c r="G29" s="61"/>
      <c r="H29" s="61"/>
      <c r="I29" s="61"/>
    </row>
    <row r="30" customFormat="false" ht="18.75" hidden="false" customHeight="true" outlineLevel="0" collapsed="false">
      <c r="B30" s="63"/>
      <c r="C30" s="63"/>
      <c r="D30" s="63"/>
      <c r="E30" s="63"/>
      <c r="F30" s="64"/>
      <c r="G30" s="63"/>
      <c r="H30" s="63"/>
      <c r="I30" s="63"/>
    </row>
    <row r="31" customFormat="false" ht="18.75" hidden="false" customHeight="true" outlineLevel="0" collapsed="false">
      <c r="B31" s="61"/>
      <c r="C31" s="61"/>
      <c r="D31" s="61"/>
      <c r="E31" s="61"/>
      <c r="F31" s="62"/>
      <c r="G31" s="61"/>
      <c r="H31" s="61"/>
      <c r="I31" s="61"/>
    </row>
    <row r="32" customFormat="false" ht="18.75" hidden="false" customHeight="true" outlineLevel="0" collapsed="false">
      <c r="B32" s="63"/>
      <c r="C32" s="63"/>
      <c r="D32" s="63"/>
      <c r="E32" s="63"/>
      <c r="F32" s="64"/>
      <c r="G32" s="63"/>
      <c r="H32" s="63"/>
      <c r="I32" s="63"/>
    </row>
    <row r="33" customFormat="false" ht="18.75" hidden="false" customHeight="true" outlineLevel="0" collapsed="false">
      <c r="B33" s="61"/>
      <c r="C33" s="61"/>
      <c r="D33" s="61"/>
      <c r="E33" s="61"/>
      <c r="F33" s="62"/>
      <c r="G33" s="61"/>
      <c r="H33" s="61"/>
      <c r="I33" s="61"/>
    </row>
    <row r="34" customFormat="false" ht="18.75" hidden="false" customHeight="true" outlineLevel="0" collapsed="false">
      <c r="B34" s="63"/>
      <c r="C34" s="63"/>
      <c r="D34" s="63"/>
      <c r="E34" s="63"/>
      <c r="F34" s="64"/>
      <c r="G34" s="63"/>
      <c r="H34" s="63"/>
      <c r="I34" s="63"/>
    </row>
    <row r="35" customFormat="false" ht="18.75" hidden="false" customHeight="true" outlineLevel="0" collapsed="false">
      <c r="B35" s="61"/>
      <c r="C35" s="61"/>
      <c r="D35" s="61"/>
      <c r="E35" s="61"/>
      <c r="F35" s="62"/>
      <c r="G35" s="61"/>
      <c r="H35" s="61"/>
      <c r="I35" s="61"/>
    </row>
    <row r="36" customFormat="false" ht="18.75" hidden="false" customHeight="true" outlineLevel="0" collapsed="false">
      <c r="B36" s="63"/>
      <c r="C36" s="63"/>
      <c r="D36" s="63"/>
      <c r="E36" s="63"/>
      <c r="F36" s="64"/>
      <c r="G36" s="63"/>
      <c r="H36" s="63"/>
      <c r="I36" s="63"/>
    </row>
    <row r="37" customFormat="false" ht="18.75" hidden="false" customHeight="true" outlineLevel="0" collapsed="false">
      <c r="B37" s="61"/>
      <c r="C37" s="61"/>
      <c r="D37" s="61"/>
      <c r="E37" s="61"/>
      <c r="F37" s="62"/>
      <c r="G37" s="61"/>
      <c r="H37" s="61"/>
      <c r="I37" s="61"/>
    </row>
    <row r="38" customFormat="false" ht="18.75" hidden="false" customHeight="true" outlineLevel="0" collapsed="false">
      <c r="B38" s="63"/>
      <c r="C38" s="63"/>
      <c r="D38" s="63"/>
      <c r="E38" s="63"/>
      <c r="F38" s="64"/>
      <c r="G38" s="63"/>
      <c r="H38" s="63"/>
      <c r="I38" s="63"/>
    </row>
    <row r="39" customFormat="false" ht="18.75" hidden="false" customHeight="true" outlineLevel="0" collapsed="false">
      <c r="B39" s="61"/>
      <c r="C39" s="61"/>
      <c r="D39" s="61"/>
      <c r="E39" s="61"/>
      <c r="F39" s="62"/>
      <c r="G39" s="61"/>
      <c r="H39" s="61"/>
      <c r="I39" s="61"/>
    </row>
    <row r="40" customFormat="false" ht="18.75" hidden="false" customHeight="true" outlineLevel="0" collapsed="false">
      <c r="B40" s="63"/>
      <c r="C40" s="63"/>
      <c r="D40" s="63"/>
      <c r="E40" s="63"/>
      <c r="F40" s="64"/>
      <c r="G40" s="63"/>
      <c r="H40" s="63"/>
      <c r="I40" s="63"/>
    </row>
    <row r="41" customFormat="false" ht="18.75" hidden="false" customHeight="true" outlineLevel="0" collapsed="false">
      <c r="B41" s="61"/>
      <c r="C41" s="61"/>
      <c r="D41" s="61"/>
      <c r="E41" s="61"/>
      <c r="F41" s="62"/>
      <c r="G41" s="61"/>
      <c r="H41" s="61"/>
      <c r="I41" s="61"/>
    </row>
    <row r="42" customFormat="false" ht="18.75" hidden="false" customHeight="true" outlineLevel="0" collapsed="false">
      <c r="B42" s="63"/>
      <c r="C42" s="63"/>
      <c r="D42" s="63"/>
      <c r="E42" s="63"/>
      <c r="F42" s="64"/>
      <c r="G42" s="63"/>
      <c r="H42" s="63"/>
      <c r="I42" s="63"/>
    </row>
    <row r="43" customFormat="false" ht="18.75" hidden="false" customHeight="true" outlineLevel="0" collapsed="false">
      <c r="B43" s="61"/>
      <c r="C43" s="61"/>
      <c r="D43" s="61"/>
      <c r="E43" s="61"/>
      <c r="F43" s="62"/>
      <c r="G43" s="61"/>
      <c r="H43" s="61"/>
      <c r="I43" s="61"/>
    </row>
    <row r="44" customFormat="false" ht="18.75" hidden="false" customHeight="true" outlineLevel="0" collapsed="false">
      <c r="B44" s="63"/>
      <c r="C44" s="63"/>
      <c r="D44" s="63"/>
      <c r="E44" s="63"/>
      <c r="F44" s="64"/>
      <c r="G44" s="63"/>
      <c r="H44" s="63"/>
      <c r="I44" s="63"/>
    </row>
    <row r="45" customFormat="false" ht="18.75" hidden="false" customHeight="true" outlineLevel="0" collapsed="false">
      <c r="B45" s="61"/>
      <c r="C45" s="61"/>
      <c r="D45" s="61"/>
      <c r="E45" s="61"/>
      <c r="F45" s="62"/>
      <c r="G45" s="61"/>
      <c r="H45" s="61"/>
      <c r="I45" s="61"/>
    </row>
    <row r="46" customFormat="false" ht="18.75" hidden="false" customHeight="true" outlineLevel="0" collapsed="false">
      <c r="B46" s="63"/>
      <c r="C46" s="63"/>
      <c r="D46" s="63"/>
      <c r="E46" s="63"/>
      <c r="F46" s="64"/>
      <c r="G46" s="63"/>
      <c r="H46" s="63"/>
      <c r="I46" s="63"/>
    </row>
    <row r="47" customFormat="false" ht="18.75" hidden="false" customHeight="true" outlineLevel="0" collapsed="false">
      <c r="B47" s="61"/>
      <c r="C47" s="61"/>
      <c r="D47" s="61"/>
      <c r="E47" s="61"/>
      <c r="F47" s="62"/>
      <c r="G47" s="61"/>
      <c r="H47" s="61"/>
      <c r="I47" s="61"/>
    </row>
    <row r="48" customFormat="false" ht="18.75" hidden="false" customHeight="true" outlineLevel="0" collapsed="false">
      <c r="B48" s="63"/>
      <c r="C48" s="63"/>
      <c r="D48" s="63"/>
      <c r="E48" s="63"/>
      <c r="F48" s="64"/>
      <c r="G48" s="63"/>
      <c r="H48" s="63"/>
      <c r="I48" s="63"/>
    </row>
    <row r="49" customFormat="false" ht="18.75" hidden="false" customHeight="true" outlineLevel="0" collapsed="false">
      <c r="B49" s="61"/>
      <c r="C49" s="61"/>
      <c r="D49" s="61"/>
      <c r="E49" s="61"/>
      <c r="F49" s="62"/>
      <c r="G49" s="61"/>
      <c r="H49" s="61"/>
      <c r="I49" s="61"/>
    </row>
    <row r="50" customFormat="false" ht="18.75" hidden="false" customHeight="true" outlineLevel="0" collapsed="false">
      <c r="B50" s="63"/>
      <c r="C50" s="63"/>
      <c r="D50" s="63"/>
      <c r="E50" s="63"/>
      <c r="F50" s="64"/>
      <c r="G50" s="63"/>
      <c r="H50" s="63"/>
      <c r="I50" s="63"/>
    </row>
    <row r="51" customFormat="false" ht="18.75" hidden="false" customHeight="true" outlineLevel="0" collapsed="false">
      <c r="B51" s="61"/>
      <c r="C51" s="61"/>
      <c r="D51" s="61"/>
      <c r="E51" s="61"/>
      <c r="F51" s="62"/>
      <c r="G51" s="61"/>
      <c r="H51" s="61"/>
      <c r="I51" s="61"/>
    </row>
    <row r="52" customFormat="false" ht="18.75" hidden="false" customHeight="true" outlineLevel="0" collapsed="false">
      <c r="B52" s="63"/>
      <c r="C52" s="63"/>
      <c r="D52" s="63"/>
      <c r="E52" s="63"/>
      <c r="F52" s="64"/>
      <c r="G52" s="63"/>
      <c r="H52" s="63"/>
      <c r="I52" s="63"/>
    </row>
    <row r="53" customFormat="false" ht="18.75" hidden="false" customHeight="true" outlineLevel="0" collapsed="false">
      <c r="B53" s="61"/>
      <c r="C53" s="61"/>
      <c r="D53" s="61"/>
      <c r="E53" s="61"/>
      <c r="F53" s="62"/>
      <c r="G53" s="61"/>
      <c r="H53" s="61"/>
      <c r="I53" s="61"/>
    </row>
    <row r="54" customFormat="false" ht="18.75" hidden="false" customHeight="true" outlineLevel="0" collapsed="false">
      <c r="B54" s="63"/>
      <c r="C54" s="63"/>
      <c r="D54" s="63"/>
      <c r="E54" s="63"/>
      <c r="F54" s="64"/>
      <c r="G54" s="63"/>
      <c r="H54" s="63"/>
      <c r="I54" s="63"/>
    </row>
    <row r="55" customFormat="false" ht="18.75" hidden="false" customHeight="true" outlineLevel="0" collapsed="false">
      <c r="B55" s="61"/>
      <c r="C55" s="61"/>
      <c r="D55" s="61"/>
      <c r="E55" s="61"/>
      <c r="F55" s="62"/>
      <c r="G55" s="61"/>
      <c r="H55" s="61"/>
      <c r="I55" s="61"/>
    </row>
    <row r="56" customFormat="false" ht="18.75" hidden="false" customHeight="true" outlineLevel="0" collapsed="false">
      <c r="B56" s="63"/>
      <c r="C56" s="63"/>
      <c r="D56" s="63"/>
      <c r="E56" s="63"/>
      <c r="F56" s="64"/>
      <c r="G56" s="63"/>
      <c r="H56" s="63"/>
      <c r="I56" s="63"/>
    </row>
    <row r="57" customFormat="false" ht="18.75" hidden="false" customHeight="true" outlineLevel="0" collapsed="false">
      <c r="B57" s="61"/>
      <c r="C57" s="61"/>
      <c r="D57" s="61"/>
      <c r="E57" s="61"/>
      <c r="F57" s="62"/>
      <c r="G57" s="61"/>
      <c r="H57" s="61"/>
      <c r="I57" s="61"/>
    </row>
    <row r="58" customFormat="false" ht="18.75" hidden="false" customHeight="true" outlineLevel="0" collapsed="false">
      <c r="B58" s="63"/>
      <c r="C58" s="63"/>
      <c r="D58" s="63"/>
      <c r="E58" s="63"/>
      <c r="F58" s="64"/>
      <c r="G58" s="63"/>
      <c r="H58" s="63"/>
      <c r="I58" s="63"/>
    </row>
    <row r="59" customFormat="false" ht="18.75" hidden="false" customHeight="true" outlineLevel="0" collapsed="false">
      <c r="B59" s="61"/>
      <c r="C59" s="61"/>
      <c r="D59" s="61"/>
      <c r="E59" s="61"/>
      <c r="F59" s="62"/>
      <c r="G59" s="61"/>
      <c r="H59" s="61"/>
      <c r="I59" s="61"/>
    </row>
    <row r="60" customFormat="false" ht="18.75" hidden="false" customHeight="true" outlineLevel="0" collapsed="false">
      <c r="B60" s="63"/>
      <c r="C60" s="63"/>
      <c r="D60" s="63"/>
      <c r="E60" s="63"/>
      <c r="F60" s="64"/>
      <c r="G60" s="63"/>
      <c r="H60" s="63"/>
      <c r="I60" s="63"/>
    </row>
    <row r="61" customFormat="false" ht="18.75" hidden="false" customHeight="true" outlineLevel="0" collapsed="false">
      <c r="B61" s="61"/>
      <c r="C61" s="61"/>
      <c r="D61" s="61"/>
      <c r="E61" s="61"/>
      <c r="F61" s="62"/>
      <c r="G61" s="61"/>
      <c r="H61" s="61"/>
      <c r="I61" s="61"/>
    </row>
    <row r="62" customFormat="false" ht="18.75" hidden="false" customHeight="true" outlineLevel="0" collapsed="false">
      <c r="B62" s="63"/>
      <c r="C62" s="63"/>
      <c r="D62" s="63"/>
      <c r="E62" s="63"/>
      <c r="F62" s="64"/>
      <c r="G62" s="63"/>
      <c r="H62" s="63"/>
      <c r="I62" s="63"/>
    </row>
    <row r="63" customFormat="false" ht="18.75" hidden="false" customHeight="true" outlineLevel="0" collapsed="false">
      <c r="B63" s="61"/>
      <c r="C63" s="61"/>
      <c r="D63" s="61"/>
      <c r="E63" s="61"/>
      <c r="F63" s="62"/>
      <c r="G63" s="61"/>
      <c r="H63" s="61"/>
      <c r="I63" s="61"/>
    </row>
    <row r="64" customFormat="false" ht="18.75" hidden="false" customHeight="true" outlineLevel="0" collapsed="false">
      <c r="B64" s="63"/>
      <c r="C64" s="63"/>
      <c r="D64" s="63"/>
      <c r="E64" s="63"/>
      <c r="F64" s="64"/>
      <c r="G64" s="63"/>
      <c r="H64" s="63"/>
      <c r="I64" s="63"/>
    </row>
    <row r="65" customFormat="false" ht="18.75" hidden="false" customHeight="true" outlineLevel="0" collapsed="false">
      <c r="B65" s="61"/>
      <c r="C65" s="61"/>
      <c r="D65" s="61"/>
      <c r="E65" s="61"/>
      <c r="F65" s="62"/>
      <c r="G65" s="61"/>
      <c r="H65" s="61"/>
      <c r="I65" s="61"/>
    </row>
    <row r="66" customFormat="false" ht="18.75" hidden="false" customHeight="true" outlineLevel="0" collapsed="false">
      <c r="B66" s="63"/>
      <c r="C66" s="63"/>
      <c r="D66" s="63"/>
      <c r="E66" s="63"/>
      <c r="F66" s="64"/>
      <c r="G66" s="63"/>
      <c r="H66" s="63"/>
      <c r="I66" s="63"/>
    </row>
    <row r="67" customFormat="false" ht="18.75" hidden="false" customHeight="true" outlineLevel="0" collapsed="false">
      <c r="B67" s="61"/>
      <c r="C67" s="61"/>
      <c r="D67" s="61"/>
      <c r="E67" s="61"/>
      <c r="F67" s="62"/>
      <c r="G67" s="61"/>
      <c r="H67" s="61"/>
      <c r="I67" s="61"/>
    </row>
    <row r="68" customFormat="false" ht="18.75" hidden="false" customHeight="true" outlineLevel="0" collapsed="false">
      <c r="B68" s="63"/>
      <c r="C68" s="63"/>
      <c r="D68" s="63"/>
      <c r="E68" s="63"/>
      <c r="F68" s="64"/>
      <c r="G68" s="63"/>
      <c r="H68" s="63"/>
      <c r="I68" s="63"/>
    </row>
    <row r="69" customFormat="false" ht="18.75" hidden="false" customHeight="true" outlineLevel="0" collapsed="false">
      <c r="B69" s="61"/>
      <c r="C69" s="61"/>
      <c r="D69" s="61"/>
      <c r="E69" s="61"/>
      <c r="F69" s="62"/>
      <c r="G69" s="61"/>
      <c r="H69" s="61"/>
      <c r="I69" s="61"/>
    </row>
    <row r="70" customFormat="false" ht="18.75" hidden="false" customHeight="true" outlineLevel="0" collapsed="false">
      <c r="B70" s="63"/>
      <c r="C70" s="63"/>
      <c r="D70" s="63"/>
      <c r="E70" s="63"/>
      <c r="F70" s="64"/>
      <c r="G70" s="63"/>
      <c r="H70" s="63"/>
      <c r="I70" s="63"/>
    </row>
    <row r="71" customFormat="false" ht="18.75" hidden="false" customHeight="true" outlineLevel="0" collapsed="false">
      <c r="B71" s="61"/>
      <c r="C71" s="61"/>
      <c r="D71" s="61"/>
      <c r="E71" s="61"/>
      <c r="F71" s="62"/>
      <c r="G71" s="61"/>
      <c r="H71" s="61"/>
      <c r="I71" s="61"/>
    </row>
    <row r="72" customFormat="false" ht="18.75" hidden="false" customHeight="true" outlineLevel="0" collapsed="false">
      <c r="B72" s="63"/>
      <c r="C72" s="63"/>
      <c r="D72" s="63"/>
      <c r="E72" s="63"/>
      <c r="F72" s="64"/>
      <c r="G72" s="63"/>
      <c r="H72" s="63"/>
      <c r="I72" s="63"/>
    </row>
    <row r="73" customFormat="false" ht="18.75" hidden="false" customHeight="true" outlineLevel="0" collapsed="false">
      <c r="B73" s="61"/>
      <c r="C73" s="61"/>
      <c r="D73" s="61"/>
      <c r="E73" s="61"/>
      <c r="F73" s="62"/>
      <c r="G73" s="61"/>
      <c r="H73" s="61"/>
      <c r="I73" s="61"/>
    </row>
    <row r="74" customFormat="false" ht="18.75" hidden="false" customHeight="true" outlineLevel="0" collapsed="false">
      <c r="B74" s="63"/>
      <c r="C74" s="63"/>
      <c r="D74" s="63"/>
      <c r="E74" s="63"/>
      <c r="F74" s="64"/>
      <c r="G74" s="63"/>
      <c r="H74" s="63"/>
      <c r="I74" s="63"/>
    </row>
    <row r="75" customFormat="false" ht="18.75" hidden="false" customHeight="true" outlineLevel="0" collapsed="false">
      <c r="B75" s="61"/>
      <c r="C75" s="61"/>
      <c r="D75" s="61"/>
      <c r="E75" s="61"/>
      <c r="F75" s="62"/>
      <c r="G75" s="61"/>
      <c r="H75" s="61"/>
      <c r="I75" s="61"/>
    </row>
    <row r="76" customFormat="false" ht="18.75" hidden="false" customHeight="true" outlineLevel="0" collapsed="false">
      <c r="B76" s="63"/>
      <c r="C76" s="63"/>
      <c r="D76" s="63"/>
      <c r="E76" s="63"/>
      <c r="F76" s="64"/>
      <c r="G76" s="63"/>
      <c r="H76" s="63"/>
      <c r="I76" s="63"/>
    </row>
    <row r="77" customFormat="false" ht="18.75" hidden="false" customHeight="true" outlineLevel="0" collapsed="false">
      <c r="B77" s="61"/>
      <c r="C77" s="61"/>
      <c r="D77" s="61"/>
      <c r="E77" s="61"/>
      <c r="F77" s="62"/>
      <c r="G77" s="61"/>
      <c r="H77" s="61"/>
      <c r="I77" s="61"/>
    </row>
    <row r="78" customFormat="false" ht="18.75" hidden="false" customHeight="true" outlineLevel="0" collapsed="false">
      <c r="B78" s="63"/>
      <c r="C78" s="63"/>
      <c r="D78" s="63"/>
      <c r="E78" s="63"/>
      <c r="F78" s="64"/>
      <c r="G78" s="63"/>
      <c r="H78" s="63"/>
      <c r="I78" s="63"/>
    </row>
    <row r="79" customFormat="false" ht="18.75" hidden="false" customHeight="true" outlineLevel="0" collapsed="false">
      <c r="B79" s="61"/>
      <c r="C79" s="61"/>
      <c r="D79" s="61"/>
      <c r="E79" s="61"/>
      <c r="F79" s="62"/>
      <c r="G79" s="61"/>
      <c r="H79" s="61"/>
      <c r="I79" s="61"/>
    </row>
    <row r="80" customFormat="false" ht="18.75" hidden="false" customHeight="true" outlineLevel="0" collapsed="false">
      <c r="B80" s="63"/>
      <c r="C80" s="63"/>
      <c r="D80" s="63"/>
      <c r="E80" s="63"/>
      <c r="F80" s="64"/>
      <c r="G80" s="63"/>
      <c r="H80" s="63"/>
      <c r="I80" s="63"/>
    </row>
    <row r="81" customFormat="false" ht="18.75" hidden="false" customHeight="true" outlineLevel="0" collapsed="false">
      <c r="B81" s="61"/>
      <c r="C81" s="61"/>
      <c r="D81" s="61"/>
      <c r="E81" s="61"/>
      <c r="F81" s="62"/>
      <c r="G81" s="61"/>
      <c r="H81" s="61"/>
      <c r="I81" s="61"/>
    </row>
    <row r="82" customFormat="false" ht="18.75" hidden="false" customHeight="true" outlineLevel="0" collapsed="false">
      <c r="B82" s="63"/>
      <c r="C82" s="63"/>
      <c r="D82" s="63"/>
      <c r="E82" s="63"/>
      <c r="F82" s="64"/>
      <c r="G82" s="63"/>
      <c r="H82" s="63"/>
      <c r="I82" s="63"/>
    </row>
    <row r="83" customFormat="false" ht="18.75" hidden="false" customHeight="true" outlineLevel="0" collapsed="false">
      <c r="B83" s="61"/>
      <c r="C83" s="61"/>
      <c r="D83" s="61"/>
      <c r="E83" s="61"/>
      <c r="F83" s="62"/>
      <c r="G83" s="61"/>
      <c r="H83" s="61"/>
      <c r="I83" s="61"/>
    </row>
    <row r="84" customFormat="false" ht="18.75" hidden="false" customHeight="true" outlineLevel="0" collapsed="false">
      <c r="B84" s="63"/>
      <c r="C84" s="63"/>
      <c r="D84" s="63"/>
      <c r="E84" s="63"/>
      <c r="F84" s="64"/>
      <c r="G84" s="63"/>
      <c r="H84" s="63"/>
      <c r="I84" s="63"/>
    </row>
    <row r="85" customFormat="false" ht="18.75" hidden="false" customHeight="true" outlineLevel="0" collapsed="false">
      <c r="B85" s="61"/>
      <c r="C85" s="61"/>
      <c r="D85" s="61"/>
      <c r="E85" s="61"/>
      <c r="F85" s="62"/>
      <c r="G85" s="61"/>
      <c r="H85" s="61"/>
      <c r="I85" s="61"/>
    </row>
    <row r="86" customFormat="false" ht="18.75" hidden="false" customHeight="true" outlineLevel="0" collapsed="false">
      <c r="B86" s="63"/>
      <c r="C86" s="63"/>
      <c r="D86" s="63"/>
      <c r="E86" s="63"/>
      <c r="F86" s="64"/>
      <c r="G86" s="63"/>
      <c r="H86" s="63"/>
      <c r="I86" s="63"/>
    </row>
    <row r="87" customFormat="false" ht="18.75" hidden="false" customHeight="true" outlineLevel="0" collapsed="false">
      <c r="B87" s="61"/>
      <c r="C87" s="61"/>
      <c r="D87" s="61"/>
      <c r="E87" s="61"/>
      <c r="F87" s="62"/>
      <c r="G87" s="61"/>
      <c r="H87" s="61"/>
      <c r="I87" s="61"/>
    </row>
    <row r="88" customFormat="false" ht="18.75" hidden="false" customHeight="true" outlineLevel="0" collapsed="false">
      <c r="B88" s="63"/>
      <c r="C88" s="63"/>
      <c r="D88" s="63"/>
      <c r="E88" s="63"/>
      <c r="F88" s="64"/>
      <c r="G88" s="63"/>
      <c r="H88" s="63"/>
      <c r="I88" s="63"/>
    </row>
    <row r="89" customFormat="false" ht="18.75" hidden="false" customHeight="true" outlineLevel="0" collapsed="false">
      <c r="B89" s="61"/>
      <c r="C89" s="61"/>
      <c r="D89" s="61"/>
      <c r="E89" s="61"/>
      <c r="F89" s="62"/>
      <c r="G89" s="61"/>
      <c r="H89" s="61"/>
      <c r="I89" s="61"/>
    </row>
    <row r="90" customFormat="false" ht="18.75" hidden="false" customHeight="true" outlineLevel="0" collapsed="false">
      <c r="B90" s="63"/>
      <c r="C90" s="63"/>
      <c r="D90" s="63"/>
      <c r="E90" s="63"/>
      <c r="F90" s="64"/>
      <c r="G90" s="63"/>
      <c r="H90" s="63"/>
      <c r="I90" s="63"/>
    </row>
    <row r="91" customFormat="false" ht="18.75" hidden="false" customHeight="true" outlineLevel="0" collapsed="false">
      <c r="B91" s="61"/>
      <c r="C91" s="61"/>
      <c r="D91" s="61"/>
      <c r="E91" s="61"/>
      <c r="F91" s="62"/>
      <c r="G91" s="61"/>
      <c r="H91" s="61"/>
      <c r="I91" s="61"/>
    </row>
    <row r="92" customFormat="false" ht="18.75" hidden="false" customHeight="true" outlineLevel="0" collapsed="false">
      <c r="B92" s="63"/>
      <c r="C92" s="63"/>
      <c r="D92" s="63"/>
      <c r="E92" s="63"/>
      <c r="F92" s="64"/>
      <c r="G92" s="63"/>
      <c r="H92" s="63"/>
      <c r="I92" s="63"/>
    </row>
    <row r="93" customFormat="false" ht="18.75" hidden="false" customHeight="true" outlineLevel="0" collapsed="false">
      <c r="B93" s="61"/>
      <c r="C93" s="61"/>
      <c r="D93" s="61"/>
      <c r="E93" s="61"/>
      <c r="F93" s="62"/>
      <c r="G93" s="61"/>
      <c r="H93" s="61"/>
      <c r="I93" s="61"/>
    </row>
    <row r="94" customFormat="false" ht="18.75" hidden="false" customHeight="true" outlineLevel="0" collapsed="false">
      <c r="B94" s="63"/>
      <c r="C94" s="63"/>
      <c r="D94" s="63"/>
      <c r="E94" s="63"/>
      <c r="F94" s="64"/>
      <c r="G94" s="63"/>
      <c r="H94" s="63"/>
      <c r="I94" s="63"/>
    </row>
    <row r="95" customFormat="false" ht="18.75" hidden="false" customHeight="true" outlineLevel="0" collapsed="false">
      <c r="B95" s="61"/>
      <c r="C95" s="61"/>
      <c r="D95" s="61"/>
      <c r="E95" s="61"/>
      <c r="F95" s="62"/>
      <c r="G95" s="61"/>
      <c r="H95" s="61"/>
      <c r="I95" s="61"/>
    </row>
    <row r="96" customFormat="false" ht="18.75" hidden="false" customHeight="true" outlineLevel="0" collapsed="false">
      <c r="B96" s="63"/>
      <c r="C96" s="63"/>
      <c r="D96" s="63"/>
      <c r="E96" s="63"/>
      <c r="F96" s="64"/>
      <c r="G96" s="63"/>
      <c r="H96" s="63"/>
      <c r="I96" s="63"/>
    </row>
    <row r="97" customFormat="false" ht="18.75" hidden="false" customHeight="true" outlineLevel="0" collapsed="false">
      <c r="B97" s="61"/>
      <c r="C97" s="61"/>
      <c r="D97" s="61"/>
      <c r="E97" s="61"/>
      <c r="F97" s="62"/>
      <c r="G97" s="61"/>
      <c r="H97" s="61"/>
      <c r="I97" s="61"/>
    </row>
    <row r="98" customFormat="false" ht="18.75" hidden="false" customHeight="true" outlineLevel="0" collapsed="false">
      <c r="B98" s="63"/>
      <c r="C98" s="63"/>
      <c r="D98" s="63"/>
      <c r="E98" s="63"/>
      <c r="F98" s="64"/>
      <c r="G98" s="63"/>
      <c r="H98" s="63"/>
      <c r="I98" s="63"/>
    </row>
    <row r="99" customFormat="false" ht="18.75" hidden="false" customHeight="true" outlineLevel="0" collapsed="false">
      <c r="B99" s="61"/>
      <c r="C99" s="61"/>
      <c r="D99" s="61"/>
      <c r="E99" s="61"/>
      <c r="F99" s="62"/>
      <c r="G99" s="61"/>
      <c r="H99" s="61"/>
      <c r="I99" s="61"/>
    </row>
    <row r="100" customFormat="false" ht="18.75" hidden="false" customHeight="true" outlineLevel="0" collapsed="false">
      <c r="B100" s="63"/>
      <c r="C100" s="63"/>
      <c r="D100" s="63"/>
      <c r="E100" s="63"/>
      <c r="F100" s="64"/>
      <c r="G100" s="63"/>
      <c r="H100" s="63"/>
      <c r="I100" s="63"/>
    </row>
    <row r="101" customFormat="false" ht="18.75" hidden="false" customHeight="true" outlineLevel="0" collapsed="false">
      <c r="B101" s="61"/>
      <c r="C101" s="61"/>
      <c r="D101" s="61"/>
      <c r="E101" s="61"/>
      <c r="F101" s="62"/>
      <c r="G101" s="61"/>
      <c r="H101" s="61"/>
      <c r="I101" s="61"/>
    </row>
    <row r="102" customFormat="false" ht="18.75" hidden="false" customHeight="true" outlineLevel="0" collapsed="false">
      <c r="B102" s="63"/>
      <c r="C102" s="63"/>
      <c r="D102" s="63"/>
      <c r="E102" s="63"/>
      <c r="F102" s="64"/>
      <c r="G102" s="63"/>
      <c r="H102" s="63"/>
      <c r="I102" s="63"/>
    </row>
    <row r="103" customFormat="false" ht="18.75" hidden="false" customHeight="true" outlineLevel="0" collapsed="false">
      <c r="B103" s="61"/>
      <c r="C103" s="61"/>
      <c r="D103" s="61"/>
      <c r="E103" s="61"/>
      <c r="F103" s="62"/>
      <c r="G103" s="61"/>
      <c r="H103" s="61"/>
      <c r="I103" s="61"/>
    </row>
    <row r="104" customFormat="false" ht="18.75" hidden="false" customHeight="true" outlineLevel="0" collapsed="false">
      <c r="B104" s="63"/>
      <c r="C104" s="63"/>
      <c r="D104" s="63"/>
      <c r="E104" s="63"/>
      <c r="F104" s="64"/>
      <c r="G104" s="63"/>
      <c r="H104" s="63"/>
      <c r="I104" s="63"/>
    </row>
    <row r="105" customFormat="false" ht="18.75" hidden="false" customHeight="true" outlineLevel="0" collapsed="false">
      <c r="B105" s="61"/>
      <c r="C105" s="61"/>
      <c r="D105" s="61"/>
      <c r="E105" s="61"/>
      <c r="F105" s="62"/>
      <c r="G105" s="61"/>
      <c r="H105" s="61"/>
      <c r="I105" s="61"/>
    </row>
    <row r="106" customFormat="false" ht="18.75" hidden="false" customHeight="true" outlineLevel="0" collapsed="false">
      <c r="B106" s="63"/>
      <c r="C106" s="63"/>
      <c r="D106" s="63"/>
      <c r="E106" s="63"/>
      <c r="F106" s="64"/>
      <c r="G106" s="63"/>
      <c r="H106" s="63"/>
      <c r="I106" s="63"/>
    </row>
    <row r="107" customFormat="false" ht="18.75" hidden="false" customHeight="true" outlineLevel="0" collapsed="false">
      <c r="B107" s="61"/>
      <c r="C107" s="61"/>
      <c r="D107" s="61"/>
      <c r="E107" s="61"/>
      <c r="F107" s="62"/>
      <c r="G107" s="61"/>
      <c r="H107" s="61"/>
      <c r="I107" s="61"/>
    </row>
    <row r="108" customFormat="false" ht="18.75" hidden="false" customHeight="true" outlineLevel="0" collapsed="false">
      <c r="B108" s="65" t="s">
        <v>96</v>
      </c>
      <c r="C108" s="65"/>
      <c r="D108" s="65"/>
      <c r="E108" s="65"/>
      <c r="F108" s="66" t="n">
        <f aca="false">SUM(E8:E107)</f>
        <v>0</v>
      </c>
    </row>
    <row r="109" customFormat="false" ht="18.75" hidden="false" customHeight="true" outlineLevel="0" collapsed="false"/>
    <row r="110" customFormat="false" ht="18.75" hidden="false" customHeight="true" outlineLevel="0" collapsed="false">
      <c r="B110" s="67" t="s">
        <v>97</v>
      </c>
      <c r="C110" s="67"/>
      <c r="D110" s="67"/>
      <c r="E110" s="67"/>
      <c r="F110" s="67"/>
      <c r="G110" s="67"/>
      <c r="H110" s="67"/>
    </row>
    <row r="111" customFormat="false" ht="18.75" hidden="false" customHeight="true" outlineLevel="0" collapsed="false"/>
    <row r="112" customFormat="false" ht="18.75" hidden="false" customHeight="true" outlineLevel="0" collapsed="false"/>
    <row r="113" customFormat="false" ht="18.75" hidden="false" customHeight="true" outlineLevel="0" collapsed="false"/>
    <row r="114" customFormat="false" ht="18.75" hidden="false" customHeight="true" outlineLevel="0" collapsed="false"/>
    <row r="115" customFormat="false" ht="18.75" hidden="false" customHeight="true" outlineLevel="0" collapsed="false"/>
    <row r="116" customFormat="false" ht="18.75" hidden="false" customHeight="true" outlineLevel="0" collapsed="false"/>
    <row r="117" customFormat="false" ht="18.75" hidden="false" customHeight="true" outlineLevel="0" collapsed="false"/>
    <row r="118" customFormat="false" ht="18.75" hidden="false" customHeight="true" outlineLevel="0" collapsed="false"/>
    <row r="119" customFormat="false" ht="18.75" hidden="false" customHeight="true" outlineLevel="0" collapsed="false"/>
  </sheetData>
  <mergeCells count="9">
    <mergeCell ref="B1:H2"/>
    <mergeCell ref="B4:C4"/>
    <mergeCell ref="D4:E4"/>
    <mergeCell ref="F4:G4"/>
    <mergeCell ref="B5:C5"/>
    <mergeCell ref="D5:E5"/>
    <mergeCell ref="F5:G5"/>
    <mergeCell ref="B108:E108"/>
    <mergeCell ref="B110:H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4"/>
  </cols>
  <sheetData>
    <row r="1" customFormat="false" ht="18.75" hidden="false" customHeight="true" outlineLevel="0" collapsed="false">
      <c r="B1" s="48" t="s">
        <v>170</v>
      </c>
      <c r="C1" s="48"/>
      <c r="D1" s="48"/>
      <c r="E1" s="48"/>
      <c r="F1" s="48"/>
      <c r="G1" s="48"/>
      <c r="H1" s="48"/>
    </row>
    <row r="2" customFormat="false" ht="18.75" hidden="false" customHeight="true" outlineLevel="0" collapsed="false">
      <c r="B2" s="48"/>
      <c r="C2" s="48"/>
      <c r="D2" s="48"/>
      <c r="E2" s="48"/>
      <c r="F2" s="48"/>
      <c r="G2" s="48"/>
      <c r="H2" s="48"/>
    </row>
    <row r="3" customFormat="false" ht="18.75" hidden="false" customHeight="true" outlineLevel="0" collapsed="false"/>
    <row r="4" customFormat="false" ht="18.75" hidden="false" customHeight="true" outlineLevel="0" collapsed="false">
      <c r="B4" s="49" t="s">
        <v>51</v>
      </c>
      <c r="C4" s="49"/>
      <c r="D4" s="50" t="s">
        <v>52</v>
      </c>
      <c r="E4" s="50"/>
      <c r="F4" s="51" t="s">
        <v>53</v>
      </c>
      <c r="G4" s="51"/>
    </row>
    <row r="5" customFormat="false" ht="18.75" hidden="false" customHeight="true" outlineLevel="0" collapsed="false">
      <c r="B5" s="52" t="n">
        <f aca="false">SUMIF(C8:C107,"Receita",E8:E107)</f>
        <v>0</v>
      </c>
      <c r="C5" s="52"/>
      <c r="D5" s="53" t="n">
        <f aca="false">SUMIF(C8:C107,"Despesa",E8:E107)</f>
        <v>0</v>
      </c>
      <c r="E5" s="53"/>
      <c r="F5" s="54" t="n">
        <f aca="false">B5-D5</f>
        <v>0</v>
      </c>
      <c r="G5" s="54"/>
    </row>
    <row r="6" customFormat="false" ht="18.75" hidden="false" customHeight="true" outlineLevel="0" collapsed="false"/>
    <row r="7" customFormat="false" ht="18.75" hidden="false" customHeight="true" outlineLevel="0" collapsed="false">
      <c r="B7" s="24" t="s">
        <v>54</v>
      </c>
      <c r="C7" s="24" t="s">
        <v>55</v>
      </c>
      <c r="D7" s="24" t="s">
        <v>20</v>
      </c>
      <c r="E7" s="24" t="s">
        <v>19</v>
      </c>
      <c r="F7" s="24" t="s">
        <v>56</v>
      </c>
      <c r="G7" s="24" t="s">
        <v>25</v>
      </c>
      <c r="H7" s="24" t="s">
        <v>57</v>
      </c>
      <c r="I7" s="24" t="s">
        <v>58</v>
      </c>
    </row>
    <row r="8" customFormat="false" ht="18.75" hidden="false" customHeight="true" outlineLevel="0" collapsed="false">
      <c r="B8" s="55" t="s">
        <v>171</v>
      </c>
      <c r="C8" s="56" t="s">
        <v>60</v>
      </c>
      <c r="D8" s="55" t="s">
        <v>61</v>
      </c>
      <c r="E8" s="55" t="s">
        <v>62</v>
      </c>
      <c r="F8" s="57" t="n">
        <v>3500</v>
      </c>
      <c r="G8" s="55" t="s">
        <v>63</v>
      </c>
      <c r="H8" s="55" t="s">
        <v>64</v>
      </c>
      <c r="I8" s="55" t="s">
        <v>65</v>
      </c>
    </row>
    <row r="9" customFormat="false" ht="18.75" hidden="false" customHeight="true" outlineLevel="0" collapsed="false">
      <c r="B9" s="58" t="s">
        <v>171</v>
      </c>
      <c r="C9" s="59" t="s">
        <v>66</v>
      </c>
      <c r="D9" s="58" t="s">
        <v>61</v>
      </c>
      <c r="E9" s="58" t="s">
        <v>62</v>
      </c>
      <c r="F9" s="60" t="n">
        <v>500</v>
      </c>
      <c r="G9" s="58" t="s">
        <v>63</v>
      </c>
      <c r="H9" s="58" t="s">
        <v>67</v>
      </c>
      <c r="I9" s="58" t="s">
        <v>68</v>
      </c>
    </row>
    <row r="10" customFormat="false" ht="18.75" hidden="false" customHeight="true" outlineLevel="0" collapsed="false">
      <c r="B10" s="55" t="s">
        <v>172</v>
      </c>
      <c r="C10" s="56" t="s">
        <v>70</v>
      </c>
      <c r="D10" s="55" t="s">
        <v>71</v>
      </c>
      <c r="E10" s="55" t="s">
        <v>26</v>
      </c>
      <c r="F10" s="57" t="n">
        <v>1200</v>
      </c>
      <c r="G10" s="55" t="s">
        <v>72</v>
      </c>
      <c r="H10" s="55" t="s">
        <v>73</v>
      </c>
      <c r="I10" s="55" t="s">
        <v>74</v>
      </c>
    </row>
    <row r="11" customFormat="false" ht="18.75" hidden="false" customHeight="true" outlineLevel="0" collapsed="false">
      <c r="B11" s="58" t="s">
        <v>173</v>
      </c>
      <c r="C11" s="59" t="s">
        <v>76</v>
      </c>
      <c r="D11" s="58" t="s">
        <v>71</v>
      </c>
      <c r="E11" s="58" t="s">
        <v>30</v>
      </c>
      <c r="F11" s="60" t="n">
        <v>450</v>
      </c>
      <c r="G11" s="58" t="s">
        <v>72</v>
      </c>
      <c r="H11" s="58" t="s">
        <v>77</v>
      </c>
      <c r="I11" s="58" t="s">
        <v>78</v>
      </c>
    </row>
    <row r="12" customFormat="false" ht="18.75" hidden="false" customHeight="true" outlineLevel="0" collapsed="false">
      <c r="B12" s="55" t="s">
        <v>174</v>
      </c>
      <c r="C12" s="56" t="s">
        <v>80</v>
      </c>
      <c r="D12" s="55" t="s">
        <v>71</v>
      </c>
      <c r="E12" s="55" t="s">
        <v>28</v>
      </c>
      <c r="F12" s="57" t="n">
        <v>150</v>
      </c>
      <c r="G12" s="55" t="s">
        <v>72</v>
      </c>
      <c r="H12" s="55" t="s">
        <v>81</v>
      </c>
      <c r="I12" s="55"/>
    </row>
    <row r="13" customFormat="false" ht="18.75" hidden="false" customHeight="true" outlineLevel="0" collapsed="false">
      <c r="B13" s="58" t="s">
        <v>175</v>
      </c>
      <c r="C13" s="59" t="s">
        <v>83</v>
      </c>
      <c r="D13" s="58" t="s">
        <v>71</v>
      </c>
      <c r="E13" s="58" t="s">
        <v>29</v>
      </c>
      <c r="F13" s="60" t="n">
        <v>200</v>
      </c>
      <c r="G13" s="58" t="s">
        <v>72</v>
      </c>
      <c r="H13" s="58" t="s">
        <v>84</v>
      </c>
      <c r="I13" s="58"/>
    </row>
    <row r="14" customFormat="false" ht="18.75" hidden="false" customHeight="true" outlineLevel="0" collapsed="false">
      <c r="B14" s="55" t="s">
        <v>176</v>
      </c>
      <c r="C14" s="56" t="s">
        <v>86</v>
      </c>
      <c r="D14" s="55" t="s">
        <v>71</v>
      </c>
      <c r="E14" s="55" t="s">
        <v>38</v>
      </c>
      <c r="F14" s="57" t="n">
        <v>500</v>
      </c>
      <c r="G14" s="55" t="s">
        <v>72</v>
      </c>
      <c r="H14" s="55" t="s">
        <v>87</v>
      </c>
      <c r="I14" s="55" t="s">
        <v>88</v>
      </c>
    </row>
    <row r="15" customFormat="false" ht="18.75" hidden="false" customHeight="true" outlineLevel="0" collapsed="false">
      <c r="B15" s="58" t="s">
        <v>177</v>
      </c>
      <c r="C15" s="59" t="s">
        <v>90</v>
      </c>
      <c r="D15" s="58" t="s">
        <v>71</v>
      </c>
      <c r="E15" s="58" t="s">
        <v>32</v>
      </c>
      <c r="F15" s="60" t="n">
        <v>100</v>
      </c>
      <c r="G15" s="58" t="s">
        <v>91</v>
      </c>
      <c r="H15" s="58" t="s">
        <v>92</v>
      </c>
      <c r="I15" s="58"/>
    </row>
    <row r="16" customFormat="false" ht="18.75" hidden="false" customHeight="true" outlineLevel="0" collapsed="false">
      <c r="B16" s="55" t="s">
        <v>178</v>
      </c>
      <c r="C16" s="56" t="s">
        <v>94</v>
      </c>
      <c r="D16" s="55" t="s">
        <v>71</v>
      </c>
      <c r="E16" s="55" t="s">
        <v>36</v>
      </c>
      <c r="F16" s="57" t="n">
        <v>60</v>
      </c>
      <c r="G16" s="55" t="s">
        <v>91</v>
      </c>
      <c r="H16" s="55" t="s">
        <v>95</v>
      </c>
      <c r="I16" s="55"/>
    </row>
    <row r="17" customFormat="false" ht="18.75" hidden="false" customHeight="true" outlineLevel="0" collapsed="false">
      <c r="B17" s="61"/>
      <c r="C17" s="61"/>
      <c r="D17" s="61"/>
      <c r="E17" s="61"/>
      <c r="F17" s="62"/>
      <c r="G17" s="61"/>
      <c r="H17" s="61"/>
      <c r="I17" s="61"/>
    </row>
    <row r="18" customFormat="false" ht="18.75" hidden="false" customHeight="true" outlineLevel="0" collapsed="false">
      <c r="B18" s="63"/>
      <c r="C18" s="63"/>
      <c r="D18" s="63"/>
      <c r="E18" s="63"/>
      <c r="F18" s="64"/>
      <c r="G18" s="63"/>
      <c r="H18" s="63"/>
      <c r="I18" s="63"/>
    </row>
    <row r="19" customFormat="false" ht="18.75" hidden="false" customHeight="true" outlineLevel="0" collapsed="false">
      <c r="B19" s="61"/>
      <c r="C19" s="61"/>
      <c r="D19" s="61"/>
      <c r="E19" s="61"/>
      <c r="F19" s="62"/>
      <c r="G19" s="61"/>
      <c r="H19" s="61"/>
      <c r="I19" s="61"/>
    </row>
    <row r="20" customFormat="false" ht="18.75" hidden="false" customHeight="true" outlineLevel="0" collapsed="false">
      <c r="B20" s="63"/>
      <c r="C20" s="63"/>
      <c r="D20" s="63"/>
      <c r="E20" s="63"/>
      <c r="F20" s="64"/>
      <c r="G20" s="63"/>
      <c r="H20" s="63"/>
      <c r="I20" s="63"/>
    </row>
    <row r="21" customFormat="false" ht="18.75" hidden="false" customHeight="true" outlineLevel="0" collapsed="false">
      <c r="B21" s="61"/>
      <c r="C21" s="61"/>
      <c r="D21" s="61"/>
      <c r="E21" s="61"/>
      <c r="F21" s="62"/>
      <c r="G21" s="61"/>
      <c r="H21" s="61"/>
      <c r="I21" s="61"/>
    </row>
    <row r="22" customFormat="false" ht="18.75" hidden="false" customHeight="true" outlineLevel="0" collapsed="false">
      <c r="B22" s="63"/>
      <c r="C22" s="63"/>
      <c r="D22" s="63"/>
      <c r="E22" s="63"/>
      <c r="F22" s="64"/>
      <c r="G22" s="63"/>
      <c r="H22" s="63"/>
      <c r="I22" s="63"/>
    </row>
    <row r="23" customFormat="false" ht="18.75" hidden="false" customHeight="true" outlineLevel="0" collapsed="false">
      <c r="B23" s="61"/>
      <c r="C23" s="61"/>
      <c r="D23" s="61"/>
      <c r="E23" s="61"/>
      <c r="F23" s="62"/>
      <c r="G23" s="61"/>
      <c r="H23" s="61"/>
      <c r="I23" s="61"/>
    </row>
    <row r="24" customFormat="false" ht="18.75" hidden="false" customHeight="true" outlineLevel="0" collapsed="false">
      <c r="B24" s="63"/>
      <c r="C24" s="63"/>
      <c r="D24" s="63"/>
      <c r="E24" s="63"/>
      <c r="F24" s="64"/>
      <c r="G24" s="63"/>
      <c r="H24" s="63"/>
      <c r="I24" s="63"/>
    </row>
    <row r="25" customFormat="false" ht="18.75" hidden="false" customHeight="true" outlineLevel="0" collapsed="false">
      <c r="B25" s="61"/>
      <c r="C25" s="61"/>
      <c r="D25" s="61"/>
      <c r="E25" s="61"/>
      <c r="F25" s="62"/>
      <c r="G25" s="61"/>
      <c r="H25" s="61"/>
      <c r="I25" s="61"/>
    </row>
    <row r="26" customFormat="false" ht="18.75" hidden="false" customHeight="true" outlineLevel="0" collapsed="false">
      <c r="B26" s="63"/>
      <c r="C26" s="63"/>
      <c r="D26" s="63"/>
      <c r="E26" s="63"/>
      <c r="F26" s="64"/>
      <c r="G26" s="63"/>
      <c r="H26" s="63"/>
      <c r="I26" s="63"/>
    </row>
    <row r="27" customFormat="false" ht="18.75" hidden="false" customHeight="true" outlineLevel="0" collapsed="false">
      <c r="B27" s="61"/>
      <c r="C27" s="61"/>
      <c r="D27" s="61"/>
      <c r="E27" s="61"/>
      <c r="F27" s="62"/>
      <c r="G27" s="61"/>
      <c r="H27" s="61"/>
      <c r="I27" s="61"/>
    </row>
    <row r="28" customFormat="false" ht="18.75" hidden="false" customHeight="true" outlineLevel="0" collapsed="false">
      <c r="B28" s="63"/>
      <c r="C28" s="63"/>
      <c r="D28" s="63"/>
      <c r="E28" s="63"/>
      <c r="F28" s="64"/>
      <c r="G28" s="63"/>
      <c r="H28" s="63"/>
      <c r="I28" s="63"/>
    </row>
    <row r="29" customFormat="false" ht="18.75" hidden="false" customHeight="true" outlineLevel="0" collapsed="false">
      <c r="B29" s="61"/>
      <c r="C29" s="61"/>
      <c r="D29" s="61"/>
      <c r="E29" s="61"/>
      <c r="F29" s="62"/>
      <c r="G29" s="61"/>
      <c r="H29" s="61"/>
      <c r="I29" s="61"/>
    </row>
    <row r="30" customFormat="false" ht="18.75" hidden="false" customHeight="true" outlineLevel="0" collapsed="false">
      <c r="B30" s="63"/>
      <c r="C30" s="63"/>
      <c r="D30" s="63"/>
      <c r="E30" s="63"/>
      <c r="F30" s="64"/>
      <c r="G30" s="63"/>
      <c r="H30" s="63"/>
      <c r="I30" s="63"/>
    </row>
    <row r="31" customFormat="false" ht="18.75" hidden="false" customHeight="true" outlineLevel="0" collapsed="false">
      <c r="B31" s="61"/>
      <c r="C31" s="61"/>
      <c r="D31" s="61"/>
      <c r="E31" s="61"/>
      <c r="F31" s="62"/>
      <c r="G31" s="61"/>
      <c r="H31" s="61"/>
      <c r="I31" s="61"/>
    </row>
    <row r="32" customFormat="false" ht="18.75" hidden="false" customHeight="true" outlineLevel="0" collapsed="false">
      <c r="B32" s="63"/>
      <c r="C32" s="63"/>
      <c r="D32" s="63"/>
      <c r="E32" s="63"/>
      <c r="F32" s="64"/>
      <c r="G32" s="63"/>
      <c r="H32" s="63"/>
      <c r="I32" s="63"/>
    </row>
    <row r="33" customFormat="false" ht="18.75" hidden="false" customHeight="true" outlineLevel="0" collapsed="false">
      <c r="B33" s="61"/>
      <c r="C33" s="61"/>
      <c r="D33" s="61"/>
      <c r="E33" s="61"/>
      <c r="F33" s="62"/>
      <c r="G33" s="61"/>
      <c r="H33" s="61"/>
      <c r="I33" s="61"/>
    </row>
    <row r="34" customFormat="false" ht="18.75" hidden="false" customHeight="true" outlineLevel="0" collapsed="false">
      <c r="B34" s="63"/>
      <c r="C34" s="63"/>
      <c r="D34" s="63"/>
      <c r="E34" s="63"/>
      <c r="F34" s="64"/>
      <c r="G34" s="63"/>
      <c r="H34" s="63"/>
      <c r="I34" s="63"/>
    </row>
    <row r="35" customFormat="false" ht="18.75" hidden="false" customHeight="true" outlineLevel="0" collapsed="false">
      <c r="B35" s="61"/>
      <c r="C35" s="61"/>
      <c r="D35" s="61"/>
      <c r="E35" s="61"/>
      <c r="F35" s="62"/>
      <c r="G35" s="61"/>
      <c r="H35" s="61"/>
      <c r="I35" s="61"/>
    </row>
    <row r="36" customFormat="false" ht="18.75" hidden="false" customHeight="true" outlineLevel="0" collapsed="false">
      <c r="B36" s="63"/>
      <c r="C36" s="63"/>
      <c r="D36" s="63"/>
      <c r="E36" s="63"/>
      <c r="F36" s="64"/>
      <c r="G36" s="63"/>
      <c r="H36" s="63"/>
      <c r="I36" s="63"/>
    </row>
    <row r="37" customFormat="false" ht="18.75" hidden="false" customHeight="true" outlineLevel="0" collapsed="false">
      <c r="B37" s="61"/>
      <c r="C37" s="61"/>
      <c r="D37" s="61"/>
      <c r="E37" s="61"/>
      <c r="F37" s="62"/>
      <c r="G37" s="61"/>
      <c r="H37" s="61"/>
      <c r="I37" s="61"/>
    </row>
    <row r="38" customFormat="false" ht="18.75" hidden="false" customHeight="true" outlineLevel="0" collapsed="false">
      <c r="B38" s="63"/>
      <c r="C38" s="63"/>
      <c r="D38" s="63"/>
      <c r="E38" s="63"/>
      <c r="F38" s="64"/>
      <c r="G38" s="63"/>
      <c r="H38" s="63"/>
      <c r="I38" s="63"/>
    </row>
    <row r="39" customFormat="false" ht="18.75" hidden="false" customHeight="true" outlineLevel="0" collapsed="false">
      <c r="B39" s="61"/>
      <c r="C39" s="61"/>
      <c r="D39" s="61"/>
      <c r="E39" s="61"/>
      <c r="F39" s="62"/>
      <c r="G39" s="61"/>
      <c r="H39" s="61"/>
      <c r="I39" s="61"/>
    </row>
    <row r="40" customFormat="false" ht="18.75" hidden="false" customHeight="true" outlineLevel="0" collapsed="false">
      <c r="B40" s="63"/>
      <c r="C40" s="63"/>
      <c r="D40" s="63"/>
      <c r="E40" s="63"/>
      <c r="F40" s="64"/>
      <c r="G40" s="63"/>
      <c r="H40" s="63"/>
      <c r="I40" s="63"/>
    </row>
    <row r="41" customFormat="false" ht="18.75" hidden="false" customHeight="true" outlineLevel="0" collapsed="false">
      <c r="B41" s="61"/>
      <c r="C41" s="61"/>
      <c r="D41" s="61"/>
      <c r="E41" s="61"/>
      <c r="F41" s="62"/>
      <c r="G41" s="61"/>
      <c r="H41" s="61"/>
      <c r="I41" s="61"/>
    </row>
    <row r="42" customFormat="false" ht="18.75" hidden="false" customHeight="true" outlineLevel="0" collapsed="false">
      <c r="B42" s="63"/>
      <c r="C42" s="63"/>
      <c r="D42" s="63"/>
      <c r="E42" s="63"/>
      <c r="F42" s="64"/>
      <c r="G42" s="63"/>
      <c r="H42" s="63"/>
      <c r="I42" s="63"/>
    </row>
    <row r="43" customFormat="false" ht="18.75" hidden="false" customHeight="true" outlineLevel="0" collapsed="false">
      <c r="B43" s="61"/>
      <c r="C43" s="61"/>
      <c r="D43" s="61"/>
      <c r="E43" s="61"/>
      <c r="F43" s="62"/>
      <c r="G43" s="61"/>
      <c r="H43" s="61"/>
      <c r="I43" s="61"/>
    </row>
    <row r="44" customFormat="false" ht="18.75" hidden="false" customHeight="true" outlineLevel="0" collapsed="false">
      <c r="B44" s="63"/>
      <c r="C44" s="63"/>
      <c r="D44" s="63"/>
      <c r="E44" s="63"/>
      <c r="F44" s="64"/>
      <c r="G44" s="63"/>
      <c r="H44" s="63"/>
      <c r="I44" s="63"/>
    </row>
    <row r="45" customFormat="false" ht="18.75" hidden="false" customHeight="true" outlineLevel="0" collapsed="false">
      <c r="B45" s="61"/>
      <c r="C45" s="61"/>
      <c r="D45" s="61"/>
      <c r="E45" s="61"/>
      <c r="F45" s="62"/>
      <c r="G45" s="61"/>
      <c r="H45" s="61"/>
      <c r="I45" s="61"/>
    </row>
    <row r="46" customFormat="false" ht="18.75" hidden="false" customHeight="true" outlineLevel="0" collapsed="false">
      <c r="B46" s="63"/>
      <c r="C46" s="63"/>
      <c r="D46" s="63"/>
      <c r="E46" s="63"/>
      <c r="F46" s="64"/>
      <c r="G46" s="63"/>
      <c r="H46" s="63"/>
      <c r="I46" s="63"/>
    </row>
    <row r="47" customFormat="false" ht="18.75" hidden="false" customHeight="true" outlineLevel="0" collapsed="false">
      <c r="B47" s="61"/>
      <c r="C47" s="61"/>
      <c r="D47" s="61"/>
      <c r="E47" s="61"/>
      <c r="F47" s="62"/>
      <c r="G47" s="61"/>
      <c r="H47" s="61"/>
      <c r="I47" s="61"/>
    </row>
    <row r="48" customFormat="false" ht="18.75" hidden="false" customHeight="true" outlineLevel="0" collapsed="false">
      <c r="B48" s="63"/>
      <c r="C48" s="63"/>
      <c r="D48" s="63"/>
      <c r="E48" s="63"/>
      <c r="F48" s="64"/>
      <c r="G48" s="63"/>
      <c r="H48" s="63"/>
      <c r="I48" s="63"/>
    </row>
    <row r="49" customFormat="false" ht="18.75" hidden="false" customHeight="true" outlineLevel="0" collapsed="false">
      <c r="B49" s="61"/>
      <c r="C49" s="61"/>
      <c r="D49" s="61"/>
      <c r="E49" s="61"/>
      <c r="F49" s="62"/>
      <c r="G49" s="61"/>
      <c r="H49" s="61"/>
      <c r="I49" s="61"/>
    </row>
    <row r="50" customFormat="false" ht="18.75" hidden="false" customHeight="true" outlineLevel="0" collapsed="false">
      <c r="B50" s="63"/>
      <c r="C50" s="63"/>
      <c r="D50" s="63"/>
      <c r="E50" s="63"/>
      <c r="F50" s="64"/>
      <c r="G50" s="63"/>
      <c r="H50" s="63"/>
      <c r="I50" s="63"/>
    </row>
    <row r="51" customFormat="false" ht="18.75" hidden="false" customHeight="true" outlineLevel="0" collapsed="false">
      <c r="B51" s="61"/>
      <c r="C51" s="61"/>
      <c r="D51" s="61"/>
      <c r="E51" s="61"/>
      <c r="F51" s="62"/>
      <c r="G51" s="61"/>
      <c r="H51" s="61"/>
      <c r="I51" s="61"/>
    </row>
    <row r="52" customFormat="false" ht="18.75" hidden="false" customHeight="true" outlineLevel="0" collapsed="false">
      <c r="B52" s="63"/>
      <c r="C52" s="63"/>
      <c r="D52" s="63"/>
      <c r="E52" s="63"/>
      <c r="F52" s="64"/>
      <c r="G52" s="63"/>
      <c r="H52" s="63"/>
      <c r="I52" s="63"/>
    </row>
    <row r="53" customFormat="false" ht="18.75" hidden="false" customHeight="true" outlineLevel="0" collapsed="false">
      <c r="B53" s="61"/>
      <c r="C53" s="61"/>
      <c r="D53" s="61"/>
      <c r="E53" s="61"/>
      <c r="F53" s="62"/>
      <c r="G53" s="61"/>
      <c r="H53" s="61"/>
      <c r="I53" s="61"/>
    </row>
    <row r="54" customFormat="false" ht="18.75" hidden="false" customHeight="true" outlineLevel="0" collapsed="false">
      <c r="B54" s="63"/>
      <c r="C54" s="63"/>
      <c r="D54" s="63"/>
      <c r="E54" s="63"/>
      <c r="F54" s="64"/>
      <c r="G54" s="63"/>
      <c r="H54" s="63"/>
      <c r="I54" s="63"/>
    </row>
    <row r="55" customFormat="false" ht="18.75" hidden="false" customHeight="true" outlineLevel="0" collapsed="false">
      <c r="B55" s="61"/>
      <c r="C55" s="61"/>
      <c r="D55" s="61"/>
      <c r="E55" s="61"/>
      <c r="F55" s="62"/>
      <c r="G55" s="61"/>
      <c r="H55" s="61"/>
      <c r="I55" s="61"/>
    </row>
    <row r="56" customFormat="false" ht="18.75" hidden="false" customHeight="true" outlineLevel="0" collapsed="false">
      <c r="B56" s="63"/>
      <c r="C56" s="63"/>
      <c r="D56" s="63"/>
      <c r="E56" s="63"/>
      <c r="F56" s="64"/>
      <c r="G56" s="63"/>
      <c r="H56" s="63"/>
      <c r="I56" s="63"/>
    </row>
    <row r="57" customFormat="false" ht="18.75" hidden="false" customHeight="true" outlineLevel="0" collapsed="false">
      <c r="B57" s="61"/>
      <c r="C57" s="61"/>
      <c r="D57" s="61"/>
      <c r="E57" s="61"/>
      <c r="F57" s="62"/>
      <c r="G57" s="61"/>
      <c r="H57" s="61"/>
      <c r="I57" s="61"/>
    </row>
    <row r="58" customFormat="false" ht="18.75" hidden="false" customHeight="true" outlineLevel="0" collapsed="false">
      <c r="B58" s="63"/>
      <c r="C58" s="63"/>
      <c r="D58" s="63"/>
      <c r="E58" s="63"/>
      <c r="F58" s="64"/>
      <c r="G58" s="63"/>
      <c r="H58" s="63"/>
      <c r="I58" s="63"/>
    </row>
    <row r="59" customFormat="false" ht="18.75" hidden="false" customHeight="true" outlineLevel="0" collapsed="false">
      <c r="B59" s="61"/>
      <c r="C59" s="61"/>
      <c r="D59" s="61"/>
      <c r="E59" s="61"/>
      <c r="F59" s="62"/>
      <c r="G59" s="61"/>
      <c r="H59" s="61"/>
      <c r="I59" s="61"/>
    </row>
    <row r="60" customFormat="false" ht="18.75" hidden="false" customHeight="true" outlineLevel="0" collapsed="false">
      <c r="B60" s="63"/>
      <c r="C60" s="63"/>
      <c r="D60" s="63"/>
      <c r="E60" s="63"/>
      <c r="F60" s="64"/>
      <c r="G60" s="63"/>
      <c r="H60" s="63"/>
      <c r="I60" s="63"/>
    </row>
    <row r="61" customFormat="false" ht="18.75" hidden="false" customHeight="true" outlineLevel="0" collapsed="false">
      <c r="B61" s="61"/>
      <c r="C61" s="61"/>
      <c r="D61" s="61"/>
      <c r="E61" s="61"/>
      <c r="F61" s="62"/>
      <c r="G61" s="61"/>
      <c r="H61" s="61"/>
      <c r="I61" s="61"/>
    </row>
    <row r="62" customFormat="false" ht="18.75" hidden="false" customHeight="true" outlineLevel="0" collapsed="false">
      <c r="B62" s="63"/>
      <c r="C62" s="63"/>
      <c r="D62" s="63"/>
      <c r="E62" s="63"/>
      <c r="F62" s="64"/>
      <c r="G62" s="63"/>
      <c r="H62" s="63"/>
      <c r="I62" s="63"/>
    </row>
    <row r="63" customFormat="false" ht="18.75" hidden="false" customHeight="true" outlineLevel="0" collapsed="false">
      <c r="B63" s="61"/>
      <c r="C63" s="61"/>
      <c r="D63" s="61"/>
      <c r="E63" s="61"/>
      <c r="F63" s="62"/>
      <c r="G63" s="61"/>
      <c r="H63" s="61"/>
      <c r="I63" s="61"/>
    </row>
    <row r="64" customFormat="false" ht="18.75" hidden="false" customHeight="true" outlineLevel="0" collapsed="false">
      <c r="B64" s="63"/>
      <c r="C64" s="63"/>
      <c r="D64" s="63"/>
      <c r="E64" s="63"/>
      <c r="F64" s="64"/>
      <c r="G64" s="63"/>
      <c r="H64" s="63"/>
      <c r="I64" s="63"/>
    </row>
    <row r="65" customFormat="false" ht="18.75" hidden="false" customHeight="true" outlineLevel="0" collapsed="false">
      <c r="B65" s="61"/>
      <c r="C65" s="61"/>
      <c r="D65" s="61"/>
      <c r="E65" s="61"/>
      <c r="F65" s="62"/>
      <c r="G65" s="61"/>
      <c r="H65" s="61"/>
      <c r="I65" s="61"/>
    </row>
    <row r="66" customFormat="false" ht="18.75" hidden="false" customHeight="true" outlineLevel="0" collapsed="false">
      <c r="B66" s="63"/>
      <c r="C66" s="63"/>
      <c r="D66" s="63"/>
      <c r="E66" s="63"/>
      <c r="F66" s="64"/>
      <c r="G66" s="63"/>
      <c r="H66" s="63"/>
      <c r="I66" s="63"/>
    </row>
    <row r="67" customFormat="false" ht="18.75" hidden="false" customHeight="true" outlineLevel="0" collapsed="false">
      <c r="B67" s="61"/>
      <c r="C67" s="61"/>
      <c r="D67" s="61"/>
      <c r="E67" s="61"/>
      <c r="F67" s="62"/>
      <c r="G67" s="61"/>
      <c r="H67" s="61"/>
      <c r="I67" s="61"/>
    </row>
    <row r="68" customFormat="false" ht="18.75" hidden="false" customHeight="true" outlineLevel="0" collapsed="false">
      <c r="B68" s="63"/>
      <c r="C68" s="63"/>
      <c r="D68" s="63"/>
      <c r="E68" s="63"/>
      <c r="F68" s="64"/>
      <c r="G68" s="63"/>
      <c r="H68" s="63"/>
      <c r="I68" s="63"/>
    </row>
    <row r="69" customFormat="false" ht="18.75" hidden="false" customHeight="true" outlineLevel="0" collapsed="false">
      <c r="B69" s="61"/>
      <c r="C69" s="61"/>
      <c r="D69" s="61"/>
      <c r="E69" s="61"/>
      <c r="F69" s="62"/>
      <c r="G69" s="61"/>
      <c r="H69" s="61"/>
      <c r="I69" s="61"/>
    </row>
    <row r="70" customFormat="false" ht="18.75" hidden="false" customHeight="true" outlineLevel="0" collapsed="false">
      <c r="B70" s="63"/>
      <c r="C70" s="63"/>
      <c r="D70" s="63"/>
      <c r="E70" s="63"/>
      <c r="F70" s="64"/>
      <c r="G70" s="63"/>
      <c r="H70" s="63"/>
      <c r="I70" s="63"/>
    </row>
    <row r="71" customFormat="false" ht="18.75" hidden="false" customHeight="true" outlineLevel="0" collapsed="false">
      <c r="B71" s="61"/>
      <c r="C71" s="61"/>
      <c r="D71" s="61"/>
      <c r="E71" s="61"/>
      <c r="F71" s="62"/>
      <c r="G71" s="61"/>
      <c r="H71" s="61"/>
      <c r="I71" s="61"/>
    </row>
    <row r="72" customFormat="false" ht="18.75" hidden="false" customHeight="true" outlineLevel="0" collapsed="false">
      <c r="B72" s="63"/>
      <c r="C72" s="63"/>
      <c r="D72" s="63"/>
      <c r="E72" s="63"/>
      <c r="F72" s="64"/>
      <c r="G72" s="63"/>
      <c r="H72" s="63"/>
      <c r="I72" s="63"/>
    </row>
    <row r="73" customFormat="false" ht="18.75" hidden="false" customHeight="true" outlineLevel="0" collapsed="false">
      <c r="B73" s="61"/>
      <c r="C73" s="61"/>
      <c r="D73" s="61"/>
      <c r="E73" s="61"/>
      <c r="F73" s="62"/>
      <c r="G73" s="61"/>
      <c r="H73" s="61"/>
      <c r="I73" s="61"/>
    </row>
    <row r="74" customFormat="false" ht="18.75" hidden="false" customHeight="true" outlineLevel="0" collapsed="false">
      <c r="B74" s="63"/>
      <c r="C74" s="63"/>
      <c r="D74" s="63"/>
      <c r="E74" s="63"/>
      <c r="F74" s="64"/>
      <c r="G74" s="63"/>
      <c r="H74" s="63"/>
      <c r="I74" s="63"/>
    </row>
    <row r="75" customFormat="false" ht="18.75" hidden="false" customHeight="true" outlineLevel="0" collapsed="false">
      <c r="B75" s="61"/>
      <c r="C75" s="61"/>
      <c r="D75" s="61"/>
      <c r="E75" s="61"/>
      <c r="F75" s="62"/>
      <c r="G75" s="61"/>
      <c r="H75" s="61"/>
      <c r="I75" s="61"/>
    </row>
    <row r="76" customFormat="false" ht="18.75" hidden="false" customHeight="true" outlineLevel="0" collapsed="false">
      <c r="B76" s="63"/>
      <c r="C76" s="63"/>
      <c r="D76" s="63"/>
      <c r="E76" s="63"/>
      <c r="F76" s="64"/>
      <c r="G76" s="63"/>
      <c r="H76" s="63"/>
      <c r="I76" s="63"/>
    </row>
    <row r="77" customFormat="false" ht="18.75" hidden="false" customHeight="true" outlineLevel="0" collapsed="false">
      <c r="B77" s="61"/>
      <c r="C77" s="61"/>
      <c r="D77" s="61"/>
      <c r="E77" s="61"/>
      <c r="F77" s="62"/>
      <c r="G77" s="61"/>
      <c r="H77" s="61"/>
      <c r="I77" s="61"/>
    </row>
    <row r="78" customFormat="false" ht="18.75" hidden="false" customHeight="true" outlineLevel="0" collapsed="false">
      <c r="B78" s="63"/>
      <c r="C78" s="63"/>
      <c r="D78" s="63"/>
      <c r="E78" s="63"/>
      <c r="F78" s="64"/>
      <c r="G78" s="63"/>
      <c r="H78" s="63"/>
      <c r="I78" s="63"/>
    </row>
    <row r="79" customFormat="false" ht="18.75" hidden="false" customHeight="true" outlineLevel="0" collapsed="false">
      <c r="B79" s="61"/>
      <c r="C79" s="61"/>
      <c r="D79" s="61"/>
      <c r="E79" s="61"/>
      <c r="F79" s="62"/>
      <c r="G79" s="61"/>
      <c r="H79" s="61"/>
      <c r="I79" s="61"/>
    </row>
    <row r="80" customFormat="false" ht="18.75" hidden="false" customHeight="true" outlineLevel="0" collapsed="false">
      <c r="B80" s="63"/>
      <c r="C80" s="63"/>
      <c r="D80" s="63"/>
      <c r="E80" s="63"/>
      <c r="F80" s="64"/>
      <c r="G80" s="63"/>
      <c r="H80" s="63"/>
      <c r="I80" s="63"/>
    </row>
    <row r="81" customFormat="false" ht="18.75" hidden="false" customHeight="true" outlineLevel="0" collapsed="false">
      <c r="B81" s="61"/>
      <c r="C81" s="61"/>
      <c r="D81" s="61"/>
      <c r="E81" s="61"/>
      <c r="F81" s="62"/>
      <c r="G81" s="61"/>
      <c r="H81" s="61"/>
      <c r="I81" s="61"/>
    </row>
    <row r="82" customFormat="false" ht="18.75" hidden="false" customHeight="true" outlineLevel="0" collapsed="false">
      <c r="B82" s="63"/>
      <c r="C82" s="63"/>
      <c r="D82" s="63"/>
      <c r="E82" s="63"/>
      <c r="F82" s="64"/>
      <c r="G82" s="63"/>
      <c r="H82" s="63"/>
      <c r="I82" s="63"/>
    </row>
    <row r="83" customFormat="false" ht="18.75" hidden="false" customHeight="true" outlineLevel="0" collapsed="false">
      <c r="B83" s="61"/>
      <c r="C83" s="61"/>
      <c r="D83" s="61"/>
      <c r="E83" s="61"/>
      <c r="F83" s="62"/>
      <c r="G83" s="61"/>
      <c r="H83" s="61"/>
      <c r="I83" s="61"/>
    </row>
    <row r="84" customFormat="false" ht="18.75" hidden="false" customHeight="true" outlineLevel="0" collapsed="false">
      <c r="B84" s="63"/>
      <c r="C84" s="63"/>
      <c r="D84" s="63"/>
      <c r="E84" s="63"/>
      <c r="F84" s="64"/>
      <c r="G84" s="63"/>
      <c r="H84" s="63"/>
      <c r="I84" s="63"/>
    </row>
    <row r="85" customFormat="false" ht="18.75" hidden="false" customHeight="true" outlineLevel="0" collapsed="false">
      <c r="B85" s="61"/>
      <c r="C85" s="61"/>
      <c r="D85" s="61"/>
      <c r="E85" s="61"/>
      <c r="F85" s="62"/>
      <c r="G85" s="61"/>
      <c r="H85" s="61"/>
      <c r="I85" s="61"/>
    </row>
    <row r="86" customFormat="false" ht="18.75" hidden="false" customHeight="true" outlineLevel="0" collapsed="false">
      <c r="B86" s="63"/>
      <c r="C86" s="63"/>
      <c r="D86" s="63"/>
      <c r="E86" s="63"/>
      <c r="F86" s="64"/>
      <c r="G86" s="63"/>
      <c r="H86" s="63"/>
      <c r="I86" s="63"/>
    </row>
    <row r="87" customFormat="false" ht="18.75" hidden="false" customHeight="true" outlineLevel="0" collapsed="false">
      <c r="B87" s="61"/>
      <c r="C87" s="61"/>
      <c r="D87" s="61"/>
      <c r="E87" s="61"/>
      <c r="F87" s="62"/>
      <c r="G87" s="61"/>
      <c r="H87" s="61"/>
      <c r="I87" s="61"/>
    </row>
    <row r="88" customFormat="false" ht="18.75" hidden="false" customHeight="true" outlineLevel="0" collapsed="false">
      <c r="B88" s="63"/>
      <c r="C88" s="63"/>
      <c r="D88" s="63"/>
      <c r="E88" s="63"/>
      <c r="F88" s="64"/>
      <c r="G88" s="63"/>
      <c r="H88" s="63"/>
      <c r="I88" s="63"/>
    </row>
    <row r="89" customFormat="false" ht="18.75" hidden="false" customHeight="true" outlineLevel="0" collapsed="false">
      <c r="B89" s="61"/>
      <c r="C89" s="61"/>
      <c r="D89" s="61"/>
      <c r="E89" s="61"/>
      <c r="F89" s="62"/>
      <c r="G89" s="61"/>
      <c r="H89" s="61"/>
      <c r="I89" s="61"/>
    </row>
    <row r="90" customFormat="false" ht="18.75" hidden="false" customHeight="true" outlineLevel="0" collapsed="false">
      <c r="B90" s="63"/>
      <c r="C90" s="63"/>
      <c r="D90" s="63"/>
      <c r="E90" s="63"/>
      <c r="F90" s="64"/>
      <c r="G90" s="63"/>
      <c r="H90" s="63"/>
      <c r="I90" s="63"/>
    </row>
    <row r="91" customFormat="false" ht="18.75" hidden="false" customHeight="true" outlineLevel="0" collapsed="false">
      <c r="B91" s="61"/>
      <c r="C91" s="61"/>
      <c r="D91" s="61"/>
      <c r="E91" s="61"/>
      <c r="F91" s="62"/>
      <c r="G91" s="61"/>
      <c r="H91" s="61"/>
      <c r="I91" s="61"/>
    </row>
    <row r="92" customFormat="false" ht="18.75" hidden="false" customHeight="true" outlineLevel="0" collapsed="false">
      <c r="B92" s="63"/>
      <c r="C92" s="63"/>
      <c r="D92" s="63"/>
      <c r="E92" s="63"/>
      <c r="F92" s="64"/>
      <c r="G92" s="63"/>
      <c r="H92" s="63"/>
      <c r="I92" s="63"/>
    </row>
    <row r="93" customFormat="false" ht="18.75" hidden="false" customHeight="true" outlineLevel="0" collapsed="false">
      <c r="B93" s="61"/>
      <c r="C93" s="61"/>
      <c r="D93" s="61"/>
      <c r="E93" s="61"/>
      <c r="F93" s="62"/>
      <c r="G93" s="61"/>
      <c r="H93" s="61"/>
      <c r="I93" s="61"/>
    </row>
    <row r="94" customFormat="false" ht="18.75" hidden="false" customHeight="true" outlineLevel="0" collapsed="false">
      <c r="B94" s="63"/>
      <c r="C94" s="63"/>
      <c r="D94" s="63"/>
      <c r="E94" s="63"/>
      <c r="F94" s="64"/>
      <c r="G94" s="63"/>
      <c r="H94" s="63"/>
      <c r="I94" s="63"/>
    </row>
    <row r="95" customFormat="false" ht="18.75" hidden="false" customHeight="true" outlineLevel="0" collapsed="false">
      <c r="B95" s="61"/>
      <c r="C95" s="61"/>
      <c r="D95" s="61"/>
      <c r="E95" s="61"/>
      <c r="F95" s="62"/>
      <c r="G95" s="61"/>
      <c r="H95" s="61"/>
      <c r="I95" s="61"/>
    </row>
    <row r="96" customFormat="false" ht="18.75" hidden="false" customHeight="true" outlineLevel="0" collapsed="false">
      <c r="B96" s="63"/>
      <c r="C96" s="63"/>
      <c r="D96" s="63"/>
      <c r="E96" s="63"/>
      <c r="F96" s="64"/>
      <c r="G96" s="63"/>
      <c r="H96" s="63"/>
      <c r="I96" s="63"/>
    </row>
    <row r="97" customFormat="false" ht="18.75" hidden="false" customHeight="true" outlineLevel="0" collapsed="false">
      <c r="B97" s="61"/>
      <c r="C97" s="61"/>
      <c r="D97" s="61"/>
      <c r="E97" s="61"/>
      <c r="F97" s="62"/>
      <c r="G97" s="61"/>
      <c r="H97" s="61"/>
      <c r="I97" s="61"/>
    </row>
    <row r="98" customFormat="false" ht="18.75" hidden="false" customHeight="true" outlineLevel="0" collapsed="false">
      <c r="B98" s="63"/>
      <c r="C98" s="63"/>
      <c r="D98" s="63"/>
      <c r="E98" s="63"/>
      <c r="F98" s="64"/>
      <c r="G98" s="63"/>
      <c r="H98" s="63"/>
      <c r="I98" s="63"/>
    </row>
    <row r="99" customFormat="false" ht="18.75" hidden="false" customHeight="true" outlineLevel="0" collapsed="false">
      <c r="B99" s="61"/>
      <c r="C99" s="61"/>
      <c r="D99" s="61"/>
      <c r="E99" s="61"/>
      <c r="F99" s="62"/>
      <c r="G99" s="61"/>
      <c r="H99" s="61"/>
      <c r="I99" s="61"/>
    </row>
    <row r="100" customFormat="false" ht="18.75" hidden="false" customHeight="true" outlineLevel="0" collapsed="false">
      <c r="B100" s="63"/>
      <c r="C100" s="63"/>
      <c r="D100" s="63"/>
      <c r="E100" s="63"/>
      <c r="F100" s="64"/>
      <c r="G100" s="63"/>
      <c r="H100" s="63"/>
      <c r="I100" s="63"/>
    </row>
    <row r="101" customFormat="false" ht="18.75" hidden="false" customHeight="true" outlineLevel="0" collapsed="false">
      <c r="B101" s="61"/>
      <c r="C101" s="61"/>
      <c r="D101" s="61"/>
      <c r="E101" s="61"/>
      <c r="F101" s="62"/>
      <c r="G101" s="61"/>
      <c r="H101" s="61"/>
      <c r="I101" s="61"/>
    </row>
    <row r="102" customFormat="false" ht="18.75" hidden="false" customHeight="true" outlineLevel="0" collapsed="false">
      <c r="B102" s="63"/>
      <c r="C102" s="63"/>
      <c r="D102" s="63"/>
      <c r="E102" s="63"/>
      <c r="F102" s="64"/>
      <c r="G102" s="63"/>
      <c r="H102" s="63"/>
      <c r="I102" s="63"/>
    </row>
    <row r="103" customFormat="false" ht="18.75" hidden="false" customHeight="true" outlineLevel="0" collapsed="false">
      <c r="B103" s="61"/>
      <c r="C103" s="61"/>
      <c r="D103" s="61"/>
      <c r="E103" s="61"/>
      <c r="F103" s="62"/>
      <c r="G103" s="61"/>
      <c r="H103" s="61"/>
      <c r="I103" s="61"/>
    </row>
    <row r="104" customFormat="false" ht="18.75" hidden="false" customHeight="true" outlineLevel="0" collapsed="false">
      <c r="B104" s="63"/>
      <c r="C104" s="63"/>
      <c r="D104" s="63"/>
      <c r="E104" s="63"/>
      <c r="F104" s="64"/>
      <c r="G104" s="63"/>
      <c r="H104" s="63"/>
      <c r="I104" s="63"/>
    </row>
    <row r="105" customFormat="false" ht="18.75" hidden="false" customHeight="true" outlineLevel="0" collapsed="false">
      <c r="B105" s="61"/>
      <c r="C105" s="61"/>
      <c r="D105" s="61"/>
      <c r="E105" s="61"/>
      <c r="F105" s="62"/>
      <c r="G105" s="61"/>
      <c r="H105" s="61"/>
      <c r="I105" s="61"/>
    </row>
    <row r="106" customFormat="false" ht="18.75" hidden="false" customHeight="true" outlineLevel="0" collapsed="false">
      <c r="B106" s="63"/>
      <c r="C106" s="63"/>
      <c r="D106" s="63"/>
      <c r="E106" s="63"/>
      <c r="F106" s="64"/>
      <c r="G106" s="63"/>
      <c r="H106" s="63"/>
      <c r="I106" s="63"/>
    </row>
    <row r="107" customFormat="false" ht="18.75" hidden="false" customHeight="true" outlineLevel="0" collapsed="false">
      <c r="B107" s="61"/>
      <c r="C107" s="61"/>
      <c r="D107" s="61"/>
      <c r="E107" s="61"/>
      <c r="F107" s="62"/>
      <c r="G107" s="61"/>
      <c r="H107" s="61"/>
      <c r="I107" s="61"/>
    </row>
    <row r="108" customFormat="false" ht="18.75" hidden="false" customHeight="true" outlineLevel="0" collapsed="false">
      <c r="B108" s="65" t="s">
        <v>96</v>
      </c>
      <c r="C108" s="65"/>
      <c r="D108" s="65"/>
      <c r="E108" s="65"/>
      <c r="F108" s="66" t="n">
        <f aca="false">SUM(E8:E107)</f>
        <v>0</v>
      </c>
    </row>
    <row r="109" customFormat="false" ht="18.75" hidden="false" customHeight="true" outlineLevel="0" collapsed="false"/>
    <row r="110" customFormat="false" ht="18.75" hidden="false" customHeight="true" outlineLevel="0" collapsed="false">
      <c r="B110" s="67" t="s">
        <v>97</v>
      </c>
      <c r="C110" s="67"/>
      <c r="D110" s="67"/>
      <c r="E110" s="67"/>
      <c r="F110" s="67"/>
      <c r="G110" s="67"/>
      <c r="H110" s="67"/>
    </row>
    <row r="111" customFormat="false" ht="18.75" hidden="false" customHeight="true" outlineLevel="0" collapsed="false"/>
    <row r="112" customFormat="false" ht="18.75" hidden="false" customHeight="true" outlineLevel="0" collapsed="false"/>
    <row r="113" customFormat="false" ht="18.75" hidden="false" customHeight="true" outlineLevel="0" collapsed="false"/>
    <row r="114" customFormat="false" ht="18.75" hidden="false" customHeight="true" outlineLevel="0" collapsed="false"/>
    <row r="115" customFormat="false" ht="18.75" hidden="false" customHeight="true" outlineLevel="0" collapsed="false"/>
    <row r="116" customFormat="false" ht="18.75" hidden="false" customHeight="true" outlineLevel="0" collapsed="false"/>
    <row r="117" customFormat="false" ht="18.75" hidden="false" customHeight="true" outlineLevel="0" collapsed="false"/>
    <row r="118" customFormat="false" ht="18.75" hidden="false" customHeight="true" outlineLevel="0" collapsed="false"/>
    <row r="119" customFormat="false" ht="18.75" hidden="false" customHeight="true" outlineLevel="0" collapsed="false"/>
  </sheetData>
  <mergeCells count="9">
    <mergeCell ref="B1:H2"/>
    <mergeCell ref="B4:C4"/>
    <mergeCell ref="D4:E4"/>
    <mergeCell ref="F4:G4"/>
    <mergeCell ref="B5:C5"/>
    <mergeCell ref="D5:E5"/>
    <mergeCell ref="F5:G5"/>
    <mergeCell ref="B108:E108"/>
    <mergeCell ref="B110:H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4"/>
  </cols>
  <sheetData>
    <row r="1" customFormat="false" ht="18.75" hidden="false" customHeight="true" outlineLevel="0" collapsed="false">
      <c r="B1" s="48" t="s">
        <v>179</v>
      </c>
      <c r="C1" s="48"/>
      <c r="D1" s="48"/>
      <c r="E1" s="48"/>
      <c r="F1" s="48"/>
      <c r="G1" s="48"/>
      <c r="H1" s="48"/>
    </row>
    <row r="2" customFormat="false" ht="18.75" hidden="false" customHeight="true" outlineLevel="0" collapsed="false">
      <c r="B2" s="48"/>
      <c r="C2" s="48"/>
      <c r="D2" s="48"/>
      <c r="E2" s="48"/>
      <c r="F2" s="48"/>
      <c r="G2" s="48"/>
      <c r="H2" s="48"/>
    </row>
    <row r="3" customFormat="false" ht="18.75" hidden="false" customHeight="true" outlineLevel="0" collapsed="false"/>
    <row r="4" customFormat="false" ht="18.75" hidden="false" customHeight="true" outlineLevel="0" collapsed="false">
      <c r="B4" s="49" t="s">
        <v>51</v>
      </c>
      <c r="C4" s="49"/>
      <c r="D4" s="50" t="s">
        <v>52</v>
      </c>
      <c r="E4" s="50"/>
      <c r="F4" s="51" t="s">
        <v>53</v>
      </c>
      <c r="G4" s="51"/>
    </row>
    <row r="5" customFormat="false" ht="18.75" hidden="false" customHeight="true" outlineLevel="0" collapsed="false">
      <c r="B5" s="52" t="n">
        <f aca="false">SUMIF(C8:C107,"Receita",E8:E107)</f>
        <v>0</v>
      </c>
      <c r="C5" s="52"/>
      <c r="D5" s="53" t="n">
        <f aca="false">SUMIF(C8:C107,"Despesa",E8:E107)</f>
        <v>0</v>
      </c>
      <c r="E5" s="53"/>
      <c r="F5" s="54" t="n">
        <f aca="false">B5-D5</f>
        <v>0</v>
      </c>
      <c r="G5" s="54"/>
    </row>
    <row r="6" customFormat="false" ht="18.75" hidden="false" customHeight="true" outlineLevel="0" collapsed="false"/>
    <row r="7" customFormat="false" ht="18.75" hidden="false" customHeight="true" outlineLevel="0" collapsed="false">
      <c r="B7" s="24" t="s">
        <v>54</v>
      </c>
      <c r="C7" s="24" t="s">
        <v>55</v>
      </c>
      <c r="D7" s="24" t="s">
        <v>20</v>
      </c>
      <c r="E7" s="24" t="s">
        <v>19</v>
      </c>
      <c r="F7" s="24" t="s">
        <v>56</v>
      </c>
      <c r="G7" s="24" t="s">
        <v>25</v>
      </c>
      <c r="H7" s="24" t="s">
        <v>57</v>
      </c>
      <c r="I7" s="24" t="s">
        <v>58</v>
      </c>
    </row>
    <row r="8" customFormat="false" ht="18.75" hidden="false" customHeight="true" outlineLevel="0" collapsed="false">
      <c r="B8" s="55" t="s">
        <v>180</v>
      </c>
      <c r="C8" s="56" t="s">
        <v>60</v>
      </c>
      <c r="D8" s="55" t="s">
        <v>61</v>
      </c>
      <c r="E8" s="55" t="s">
        <v>62</v>
      </c>
      <c r="F8" s="57" t="n">
        <v>3500</v>
      </c>
      <c r="G8" s="55" t="s">
        <v>63</v>
      </c>
      <c r="H8" s="55" t="s">
        <v>64</v>
      </c>
      <c r="I8" s="55" t="s">
        <v>65</v>
      </c>
    </row>
    <row r="9" customFormat="false" ht="18.75" hidden="false" customHeight="true" outlineLevel="0" collapsed="false">
      <c r="B9" s="58" t="s">
        <v>180</v>
      </c>
      <c r="C9" s="59" t="s">
        <v>66</v>
      </c>
      <c r="D9" s="58" t="s">
        <v>61</v>
      </c>
      <c r="E9" s="58" t="s">
        <v>62</v>
      </c>
      <c r="F9" s="60" t="n">
        <v>500</v>
      </c>
      <c r="G9" s="58" t="s">
        <v>63</v>
      </c>
      <c r="H9" s="58" t="s">
        <v>67</v>
      </c>
      <c r="I9" s="58" t="s">
        <v>68</v>
      </c>
    </row>
    <row r="10" customFormat="false" ht="18.75" hidden="false" customHeight="true" outlineLevel="0" collapsed="false">
      <c r="B10" s="55" t="s">
        <v>181</v>
      </c>
      <c r="C10" s="56" t="s">
        <v>70</v>
      </c>
      <c r="D10" s="55" t="s">
        <v>71</v>
      </c>
      <c r="E10" s="55" t="s">
        <v>26</v>
      </c>
      <c r="F10" s="57" t="n">
        <v>1200</v>
      </c>
      <c r="G10" s="55" t="s">
        <v>72</v>
      </c>
      <c r="H10" s="55" t="s">
        <v>73</v>
      </c>
      <c r="I10" s="55" t="s">
        <v>74</v>
      </c>
    </row>
    <row r="11" customFormat="false" ht="18.75" hidden="false" customHeight="true" outlineLevel="0" collapsed="false">
      <c r="B11" s="58" t="s">
        <v>182</v>
      </c>
      <c r="C11" s="59" t="s">
        <v>76</v>
      </c>
      <c r="D11" s="58" t="s">
        <v>71</v>
      </c>
      <c r="E11" s="58" t="s">
        <v>30</v>
      </c>
      <c r="F11" s="60" t="n">
        <v>450</v>
      </c>
      <c r="G11" s="58" t="s">
        <v>72</v>
      </c>
      <c r="H11" s="58" t="s">
        <v>77</v>
      </c>
      <c r="I11" s="58" t="s">
        <v>78</v>
      </c>
    </row>
    <row r="12" customFormat="false" ht="18.75" hidden="false" customHeight="true" outlineLevel="0" collapsed="false">
      <c r="B12" s="55" t="s">
        <v>183</v>
      </c>
      <c r="C12" s="56" t="s">
        <v>80</v>
      </c>
      <c r="D12" s="55" t="s">
        <v>71</v>
      </c>
      <c r="E12" s="55" t="s">
        <v>28</v>
      </c>
      <c r="F12" s="57" t="n">
        <v>150</v>
      </c>
      <c r="G12" s="55" t="s">
        <v>72</v>
      </c>
      <c r="H12" s="55" t="s">
        <v>81</v>
      </c>
      <c r="I12" s="55"/>
    </row>
    <row r="13" customFormat="false" ht="18.75" hidden="false" customHeight="true" outlineLevel="0" collapsed="false">
      <c r="B13" s="58" t="s">
        <v>184</v>
      </c>
      <c r="C13" s="59" t="s">
        <v>83</v>
      </c>
      <c r="D13" s="58" t="s">
        <v>71</v>
      </c>
      <c r="E13" s="58" t="s">
        <v>29</v>
      </c>
      <c r="F13" s="60" t="n">
        <v>200</v>
      </c>
      <c r="G13" s="58" t="s">
        <v>72</v>
      </c>
      <c r="H13" s="58" t="s">
        <v>84</v>
      </c>
      <c r="I13" s="58"/>
    </row>
    <row r="14" customFormat="false" ht="18.75" hidden="false" customHeight="true" outlineLevel="0" collapsed="false">
      <c r="B14" s="55" t="s">
        <v>185</v>
      </c>
      <c r="C14" s="56" t="s">
        <v>86</v>
      </c>
      <c r="D14" s="55" t="s">
        <v>71</v>
      </c>
      <c r="E14" s="55" t="s">
        <v>38</v>
      </c>
      <c r="F14" s="57" t="n">
        <v>500</v>
      </c>
      <c r="G14" s="55" t="s">
        <v>72</v>
      </c>
      <c r="H14" s="55" t="s">
        <v>87</v>
      </c>
      <c r="I14" s="55" t="s">
        <v>88</v>
      </c>
    </row>
    <row r="15" customFormat="false" ht="18.75" hidden="false" customHeight="true" outlineLevel="0" collapsed="false">
      <c r="B15" s="58" t="s">
        <v>186</v>
      </c>
      <c r="C15" s="59" t="s">
        <v>90</v>
      </c>
      <c r="D15" s="58" t="s">
        <v>71</v>
      </c>
      <c r="E15" s="58" t="s">
        <v>32</v>
      </c>
      <c r="F15" s="60" t="n">
        <v>100</v>
      </c>
      <c r="G15" s="58" t="s">
        <v>91</v>
      </c>
      <c r="H15" s="58" t="s">
        <v>92</v>
      </c>
      <c r="I15" s="58"/>
    </row>
    <row r="16" customFormat="false" ht="18.75" hidden="false" customHeight="true" outlineLevel="0" collapsed="false">
      <c r="B16" s="55" t="s">
        <v>187</v>
      </c>
      <c r="C16" s="56" t="s">
        <v>94</v>
      </c>
      <c r="D16" s="55" t="s">
        <v>71</v>
      </c>
      <c r="E16" s="55" t="s">
        <v>36</v>
      </c>
      <c r="F16" s="57" t="n">
        <v>60</v>
      </c>
      <c r="G16" s="55" t="s">
        <v>91</v>
      </c>
      <c r="H16" s="55" t="s">
        <v>95</v>
      </c>
      <c r="I16" s="55"/>
    </row>
    <row r="17" customFormat="false" ht="18.75" hidden="false" customHeight="true" outlineLevel="0" collapsed="false">
      <c r="B17" s="61"/>
      <c r="C17" s="61"/>
      <c r="D17" s="61"/>
      <c r="E17" s="61"/>
      <c r="F17" s="62"/>
      <c r="G17" s="61"/>
      <c r="H17" s="61"/>
      <c r="I17" s="61"/>
    </row>
    <row r="18" customFormat="false" ht="18.75" hidden="false" customHeight="true" outlineLevel="0" collapsed="false">
      <c r="B18" s="63"/>
      <c r="C18" s="63"/>
      <c r="D18" s="63"/>
      <c r="E18" s="63"/>
      <c r="F18" s="64"/>
      <c r="G18" s="63"/>
      <c r="H18" s="63"/>
      <c r="I18" s="63"/>
    </row>
    <row r="19" customFormat="false" ht="18.75" hidden="false" customHeight="true" outlineLevel="0" collapsed="false">
      <c r="B19" s="61"/>
      <c r="C19" s="61"/>
      <c r="D19" s="61"/>
      <c r="E19" s="61"/>
      <c r="F19" s="62"/>
      <c r="G19" s="61"/>
      <c r="H19" s="61"/>
      <c r="I19" s="61"/>
    </row>
    <row r="20" customFormat="false" ht="18.75" hidden="false" customHeight="true" outlineLevel="0" collapsed="false">
      <c r="B20" s="63"/>
      <c r="C20" s="63"/>
      <c r="D20" s="63"/>
      <c r="E20" s="63"/>
      <c r="F20" s="64"/>
      <c r="G20" s="63"/>
      <c r="H20" s="63"/>
      <c r="I20" s="63"/>
    </row>
    <row r="21" customFormat="false" ht="18.75" hidden="false" customHeight="true" outlineLevel="0" collapsed="false">
      <c r="B21" s="61"/>
      <c r="C21" s="61"/>
      <c r="D21" s="61"/>
      <c r="E21" s="61"/>
      <c r="F21" s="62"/>
      <c r="G21" s="61"/>
      <c r="H21" s="61"/>
      <c r="I21" s="61"/>
    </row>
    <row r="22" customFormat="false" ht="18.75" hidden="false" customHeight="true" outlineLevel="0" collapsed="false">
      <c r="B22" s="63"/>
      <c r="C22" s="63"/>
      <c r="D22" s="63"/>
      <c r="E22" s="63"/>
      <c r="F22" s="64"/>
      <c r="G22" s="63"/>
      <c r="H22" s="63"/>
      <c r="I22" s="63"/>
    </row>
    <row r="23" customFormat="false" ht="18.75" hidden="false" customHeight="true" outlineLevel="0" collapsed="false">
      <c r="B23" s="61"/>
      <c r="C23" s="61"/>
      <c r="D23" s="61"/>
      <c r="E23" s="61"/>
      <c r="F23" s="62"/>
      <c r="G23" s="61"/>
      <c r="H23" s="61"/>
      <c r="I23" s="61"/>
    </row>
    <row r="24" customFormat="false" ht="18.75" hidden="false" customHeight="true" outlineLevel="0" collapsed="false">
      <c r="B24" s="63"/>
      <c r="C24" s="63"/>
      <c r="D24" s="63"/>
      <c r="E24" s="63"/>
      <c r="F24" s="64"/>
      <c r="G24" s="63"/>
      <c r="H24" s="63"/>
      <c r="I24" s="63"/>
    </row>
    <row r="25" customFormat="false" ht="18.75" hidden="false" customHeight="true" outlineLevel="0" collapsed="false">
      <c r="B25" s="61"/>
      <c r="C25" s="61"/>
      <c r="D25" s="61"/>
      <c r="E25" s="61"/>
      <c r="F25" s="62"/>
      <c r="G25" s="61"/>
      <c r="H25" s="61"/>
      <c r="I25" s="61"/>
    </row>
    <row r="26" customFormat="false" ht="18.75" hidden="false" customHeight="true" outlineLevel="0" collapsed="false">
      <c r="B26" s="63"/>
      <c r="C26" s="63"/>
      <c r="D26" s="63"/>
      <c r="E26" s="63"/>
      <c r="F26" s="64"/>
      <c r="G26" s="63"/>
      <c r="H26" s="63"/>
      <c r="I26" s="63"/>
    </row>
    <row r="27" customFormat="false" ht="18.75" hidden="false" customHeight="true" outlineLevel="0" collapsed="false">
      <c r="B27" s="61"/>
      <c r="C27" s="61"/>
      <c r="D27" s="61"/>
      <c r="E27" s="61"/>
      <c r="F27" s="62"/>
      <c r="G27" s="61"/>
      <c r="H27" s="61"/>
      <c r="I27" s="61"/>
    </row>
    <row r="28" customFormat="false" ht="18.75" hidden="false" customHeight="true" outlineLevel="0" collapsed="false">
      <c r="B28" s="63"/>
      <c r="C28" s="63"/>
      <c r="D28" s="63"/>
      <c r="E28" s="63"/>
      <c r="F28" s="64"/>
      <c r="G28" s="63"/>
      <c r="H28" s="63"/>
      <c r="I28" s="63"/>
    </row>
    <row r="29" customFormat="false" ht="18.75" hidden="false" customHeight="true" outlineLevel="0" collapsed="false">
      <c r="B29" s="61"/>
      <c r="C29" s="61"/>
      <c r="D29" s="61"/>
      <c r="E29" s="61"/>
      <c r="F29" s="62"/>
      <c r="G29" s="61"/>
      <c r="H29" s="61"/>
      <c r="I29" s="61"/>
    </row>
    <row r="30" customFormat="false" ht="18.75" hidden="false" customHeight="true" outlineLevel="0" collapsed="false">
      <c r="B30" s="63"/>
      <c r="C30" s="63"/>
      <c r="D30" s="63"/>
      <c r="E30" s="63"/>
      <c r="F30" s="64"/>
      <c r="G30" s="63"/>
      <c r="H30" s="63"/>
      <c r="I30" s="63"/>
    </row>
    <row r="31" customFormat="false" ht="18.75" hidden="false" customHeight="true" outlineLevel="0" collapsed="false">
      <c r="B31" s="61"/>
      <c r="C31" s="61"/>
      <c r="D31" s="61"/>
      <c r="E31" s="61"/>
      <c r="F31" s="62"/>
      <c r="G31" s="61"/>
      <c r="H31" s="61"/>
      <c r="I31" s="61"/>
    </row>
    <row r="32" customFormat="false" ht="18.75" hidden="false" customHeight="true" outlineLevel="0" collapsed="false">
      <c r="B32" s="63"/>
      <c r="C32" s="63"/>
      <c r="D32" s="63"/>
      <c r="E32" s="63"/>
      <c r="F32" s="64"/>
      <c r="G32" s="63"/>
      <c r="H32" s="63"/>
      <c r="I32" s="63"/>
    </row>
    <row r="33" customFormat="false" ht="18.75" hidden="false" customHeight="true" outlineLevel="0" collapsed="false">
      <c r="B33" s="61"/>
      <c r="C33" s="61"/>
      <c r="D33" s="61"/>
      <c r="E33" s="61"/>
      <c r="F33" s="62"/>
      <c r="G33" s="61"/>
      <c r="H33" s="61"/>
      <c r="I33" s="61"/>
    </row>
    <row r="34" customFormat="false" ht="18.75" hidden="false" customHeight="true" outlineLevel="0" collapsed="false">
      <c r="B34" s="63"/>
      <c r="C34" s="63"/>
      <c r="D34" s="63"/>
      <c r="E34" s="63"/>
      <c r="F34" s="64"/>
      <c r="G34" s="63"/>
      <c r="H34" s="63"/>
      <c r="I34" s="63"/>
    </row>
    <row r="35" customFormat="false" ht="18.75" hidden="false" customHeight="true" outlineLevel="0" collapsed="false">
      <c r="B35" s="61"/>
      <c r="C35" s="61"/>
      <c r="D35" s="61"/>
      <c r="E35" s="61"/>
      <c r="F35" s="62"/>
      <c r="G35" s="61"/>
      <c r="H35" s="61"/>
      <c r="I35" s="61"/>
    </row>
    <row r="36" customFormat="false" ht="18.75" hidden="false" customHeight="true" outlineLevel="0" collapsed="false">
      <c r="B36" s="63"/>
      <c r="C36" s="63"/>
      <c r="D36" s="63"/>
      <c r="E36" s="63"/>
      <c r="F36" s="64"/>
      <c r="G36" s="63"/>
      <c r="H36" s="63"/>
      <c r="I36" s="63"/>
    </row>
    <row r="37" customFormat="false" ht="18.75" hidden="false" customHeight="true" outlineLevel="0" collapsed="false">
      <c r="B37" s="61"/>
      <c r="C37" s="61"/>
      <c r="D37" s="61"/>
      <c r="E37" s="61"/>
      <c r="F37" s="62"/>
      <c r="G37" s="61"/>
      <c r="H37" s="61"/>
      <c r="I37" s="61"/>
    </row>
    <row r="38" customFormat="false" ht="18.75" hidden="false" customHeight="true" outlineLevel="0" collapsed="false">
      <c r="B38" s="63"/>
      <c r="C38" s="63"/>
      <c r="D38" s="63"/>
      <c r="E38" s="63"/>
      <c r="F38" s="64"/>
      <c r="G38" s="63"/>
      <c r="H38" s="63"/>
      <c r="I38" s="63"/>
    </row>
    <row r="39" customFormat="false" ht="18.75" hidden="false" customHeight="true" outlineLevel="0" collapsed="false">
      <c r="B39" s="61"/>
      <c r="C39" s="61"/>
      <c r="D39" s="61"/>
      <c r="E39" s="61"/>
      <c r="F39" s="62"/>
      <c r="G39" s="61"/>
      <c r="H39" s="61"/>
      <c r="I39" s="61"/>
    </row>
    <row r="40" customFormat="false" ht="18.75" hidden="false" customHeight="true" outlineLevel="0" collapsed="false">
      <c r="B40" s="63"/>
      <c r="C40" s="63"/>
      <c r="D40" s="63"/>
      <c r="E40" s="63"/>
      <c r="F40" s="64"/>
      <c r="G40" s="63"/>
      <c r="H40" s="63"/>
      <c r="I40" s="63"/>
    </row>
    <row r="41" customFormat="false" ht="18.75" hidden="false" customHeight="true" outlineLevel="0" collapsed="false">
      <c r="B41" s="61"/>
      <c r="C41" s="61"/>
      <c r="D41" s="61"/>
      <c r="E41" s="61"/>
      <c r="F41" s="62"/>
      <c r="G41" s="61"/>
      <c r="H41" s="61"/>
      <c r="I41" s="61"/>
    </row>
    <row r="42" customFormat="false" ht="18.75" hidden="false" customHeight="true" outlineLevel="0" collapsed="false">
      <c r="B42" s="63"/>
      <c r="C42" s="63"/>
      <c r="D42" s="63"/>
      <c r="E42" s="63"/>
      <c r="F42" s="64"/>
      <c r="G42" s="63"/>
      <c r="H42" s="63"/>
      <c r="I42" s="63"/>
    </row>
    <row r="43" customFormat="false" ht="18.75" hidden="false" customHeight="true" outlineLevel="0" collapsed="false">
      <c r="B43" s="61"/>
      <c r="C43" s="61"/>
      <c r="D43" s="61"/>
      <c r="E43" s="61"/>
      <c r="F43" s="62"/>
      <c r="G43" s="61"/>
      <c r="H43" s="61"/>
      <c r="I43" s="61"/>
    </row>
    <row r="44" customFormat="false" ht="18.75" hidden="false" customHeight="true" outlineLevel="0" collapsed="false">
      <c r="B44" s="63"/>
      <c r="C44" s="63"/>
      <c r="D44" s="63"/>
      <c r="E44" s="63"/>
      <c r="F44" s="64"/>
      <c r="G44" s="63"/>
      <c r="H44" s="63"/>
      <c r="I44" s="63"/>
    </row>
    <row r="45" customFormat="false" ht="18.75" hidden="false" customHeight="true" outlineLevel="0" collapsed="false">
      <c r="B45" s="61"/>
      <c r="C45" s="61"/>
      <c r="D45" s="61"/>
      <c r="E45" s="61"/>
      <c r="F45" s="62"/>
      <c r="G45" s="61"/>
      <c r="H45" s="61"/>
      <c r="I45" s="61"/>
    </row>
    <row r="46" customFormat="false" ht="18.75" hidden="false" customHeight="true" outlineLevel="0" collapsed="false">
      <c r="B46" s="63"/>
      <c r="C46" s="63"/>
      <c r="D46" s="63"/>
      <c r="E46" s="63"/>
      <c r="F46" s="64"/>
      <c r="G46" s="63"/>
      <c r="H46" s="63"/>
      <c r="I46" s="63"/>
    </row>
    <row r="47" customFormat="false" ht="18.75" hidden="false" customHeight="true" outlineLevel="0" collapsed="false">
      <c r="B47" s="61"/>
      <c r="C47" s="61"/>
      <c r="D47" s="61"/>
      <c r="E47" s="61"/>
      <c r="F47" s="62"/>
      <c r="G47" s="61"/>
      <c r="H47" s="61"/>
      <c r="I47" s="61"/>
    </row>
    <row r="48" customFormat="false" ht="18.75" hidden="false" customHeight="true" outlineLevel="0" collapsed="false">
      <c r="B48" s="63"/>
      <c r="C48" s="63"/>
      <c r="D48" s="63"/>
      <c r="E48" s="63"/>
      <c r="F48" s="64"/>
      <c r="G48" s="63"/>
      <c r="H48" s="63"/>
      <c r="I48" s="63"/>
    </row>
    <row r="49" customFormat="false" ht="18.75" hidden="false" customHeight="true" outlineLevel="0" collapsed="false">
      <c r="B49" s="61"/>
      <c r="C49" s="61"/>
      <c r="D49" s="61"/>
      <c r="E49" s="61"/>
      <c r="F49" s="62"/>
      <c r="G49" s="61"/>
      <c r="H49" s="61"/>
      <c r="I49" s="61"/>
    </row>
    <row r="50" customFormat="false" ht="18.75" hidden="false" customHeight="true" outlineLevel="0" collapsed="false">
      <c r="B50" s="63"/>
      <c r="C50" s="63"/>
      <c r="D50" s="63"/>
      <c r="E50" s="63"/>
      <c r="F50" s="64"/>
      <c r="G50" s="63"/>
      <c r="H50" s="63"/>
      <c r="I50" s="63"/>
    </row>
    <row r="51" customFormat="false" ht="18.75" hidden="false" customHeight="true" outlineLevel="0" collapsed="false">
      <c r="B51" s="61"/>
      <c r="C51" s="61"/>
      <c r="D51" s="61"/>
      <c r="E51" s="61"/>
      <c r="F51" s="62"/>
      <c r="G51" s="61"/>
      <c r="H51" s="61"/>
      <c r="I51" s="61"/>
    </row>
    <row r="52" customFormat="false" ht="18.75" hidden="false" customHeight="true" outlineLevel="0" collapsed="false">
      <c r="B52" s="63"/>
      <c r="C52" s="63"/>
      <c r="D52" s="63"/>
      <c r="E52" s="63"/>
      <c r="F52" s="64"/>
      <c r="G52" s="63"/>
      <c r="H52" s="63"/>
      <c r="I52" s="63"/>
    </row>
    <row r="53" customFormat="false" ht="18.75" hidden="false" customHeight="true" outlineLevel="0" collapsed="false">
      <c r="B53" s="61"/>
      <c r="C53" s="61"/>
      <c r="D53" s="61"/>
      <c r="E53" s="61"/>
      <c r="F53" s="62"/>
      <c r="G53" s="61"/>
      <c r="H53" s="61"/>
      <c r="I53" s="61"/>
    </row>
    <row r="54" customFormat="false" ht="18.75" hidden="false" customHeight="true" outlineLevel="0" collapsed="false">
      <c r="B54" s="63"/>
      <c r="C54" s="63"/>
      <c r="D54" s="63"/>
      <c r="E54" s="63"/>
      <c r="F54" s="64"/>
      <c r="G54" s="63"/>
      <c r="H54" s="63"/>
      <c r="I54" s="63"/>
    </row>
    <row r="55" customFormat="false" ht="18.75" hidden="false" customHeight="true" outlineLevel="0" collapsed="false">
      <c r="B55" s="61"/>
      <c r="C55" s="61"/>
      <c r="D55" s="61"/>
      <c r="E55" s="61"/>
      <c r="F55" s="62"/>
      <c r="G55" s="61"/>
      <c r="H55" s="61"/>
      <c r="I55" s="61"/>
    </row>
    <row r="56" customFormat="false" ht="18.75" hidden="false" customHeight="true" outlineLevel="0" collapsed="false">
      <c r="B56" s="63"/>
      <c r="C56" s="63"/>
      <c r="D56" s="63"/>
      <c r="E56" s="63"/>
      <c r="F56" s="64"/>
      <c r="G56" s="63"/>
      <c r="H56" s="63"/>
      <c r="I56" s="63"/>
    </row>
    <row r="57" customFormat="false" ht="18.75" hidden="false" customHeight="true" outlineLevel="0" collapsed="false">
      <c r="B57" s="61"/>
      <c r="C57" s="61"/>
      <c r="D57" s="61"/>
      <c r="E57" s="61"/>
      <c r="F57" s="62"/>
      <c r="G57" s="61"/>
      <c r="H57" s="61"/>
      <c r="I57" s="61"/>
    </row>
    <row r="58" customFormat="false" ht="18.75" hidden="false" customHeight="true" outlineLevel="0" collapsed="false">
      <c r="B58" s="63"/>
      <c r="C58" s="63"/>
      <c r="D58" s="63"/>
      <c r="E58" s="63"/>
      <c r="F58" s="64"/>
      <c r="G58" s="63"/>
      <c r="H58" s="63"/>
      <c r="I58" s="63"/>
    </row>
    <row r="59" customFormat="false" ht="18.75" hidden="false" customHeight="true" outlineLevel="0" collapsed="false">
      <c r="B59" s="61"/>
      <c r="C59" s="61"/>
      <c r="D59" s="61"/>
      <c r="E59" s="61"/>
      <c r="F59" s="62"/>
      <c r="G59" s="61"/>
      <c r="H59" s="61"/>
      <c r="I59" s="61"/>
    </row>
    <row r="60" customFormat="false" ht="18.75" hidden="false" customHeight="true" outlineLevel="0" collapsed="false">
      <c r="B60" s="63"/>
      <c r="C60" s="63"/>
      <c r="D60" s="63"/>
      <c r="E60" s="63"/>
      <c r="F60" s="64"/>
      <c r="G60" s="63"/>
      <c r="H60" s="63"/>
      <c r="I60" s="63"/>
    </row>
    <row r="61" customFormat="false" ht="18.75" hidden="false" customHeight="true" outlineLevel="0" collapsed="false">
      <c r="B61" s="61"/>
      <c r="C61" s="61"/>
      <c r="D61" s="61"/>
      <c r="E61" s="61"/>
      <c r="F61" s="62"/>
      <c r="G61" s="61"/>
      <c r="H61" s="61"/>
      <c r="I61" s="61"/>
    </row>
    <row r="62" customFormat="false" ht="18.75" hidden="false" customHeight="true" outlineLevel="0" collapsed="false">
      <c r="B62" s="63"/>
      <c r="C62" s="63"/>
      <c r="D62" s="63"/>
      <c r="E62" s="63"/>
      <c r="F62" s="64"/>
      <c r="G62" s="63"/>
      <c r="H62" s="63"/>
      <c r="I62" s="63"/>
    </row>
    <row r="63" customFormat="false" ht="18.75" hidden="false" customHeight="true" outlineLevel="0" collapsed="false">
      <c r="B63" s="61"/>
      <c r="C63" s="61"/>
      <c r="D63" s="61"/>
      <c r="E63" s="61"/>
      <c r="F63" s="62"/>
      <c r="G63" s="61"/>
      <c r="H63" s="61"/>
      <c r="I63" s="61"/>
    </row>
    <row r="64" customFormat="false" ht="18.75" hidden="false" customHeight="true" outlineLevel="0" collapsed="false">
      <c r="B64" s="63"/>
      <c r="C64" s="63"/>
      <c r="D64" s="63"/>
      <c r="E64" s="63"/>
      <c r="F64" s="64"/>
      <c r="G64" s="63"/>
      <c r="H64" s="63"/>
      <c r="I64" s="63"/>
    </row>
    <row r="65" customFormat="false" ht="18.75" hidden="false" customHeight="true" outlineLevel="0" collapsed="false">
      <c r="B65" s="61"/>
      <c r="C65" s="61"/>
      <c r="D65" s="61"/>
      <c r="E65" s="61"/>
      <c r="F65" s="62"/>
      <c r="G65" s="61"/>
      <c r="H65" s="61"/>
      <c r="I65" s="61"/>
    </row>
    <row r="66" customFormat="false" ht="18.75" hidden="false" customHeight="true" outlineLevel="0" collapsed="false">
      <c r="B66" s="63"/>
      <c r="C66" s="63"/>
      <c r="D66" s="63"/>
      <c r="E66" s="63"/>
      <c r="F66" s="64"/>
      <c r="G66" s="63"/>
      <c r="H66" s="63"/>
      <c r="I66" s="63"/>
    </row>
    <row r="67" customFormat="false" ht="18.75" hidden="false" customHeight="true" outlineLevel="0" collapsed="false">
      <c r="B67" s="61"/>
      <c r="C67" s="61"/>
      <c r="D67" s="61"/>
      <c r="E67" s="61"/>
      <c r="F67" s="62"/>
      <c r="G67" s="61"/>
      <c r="H67" s="61"/>
      <c r="I67" s="61"/>
    </row>
    <row r="68" customFormat="false" ht="18.75" hidden="false" customHeight="true" outlineLevel="0" collapsed="false">
      <c r="B68" s="63"/>
      <c r="C68" s="63"/>
      <c r="D68" s="63"/>
      <c r="E68" s="63"/>
      <c r="F68" s="64"/>
      <c r="G68" s="63"/>
      <c r="H68" s="63"/>
      <c r="I68" s="63"/>
    </row>
    <row r="69" customFormat="false" ht="18.75" hidden="false" customHeight="true" outlineLevel="0" collapsed="false">
      <c r="B69" s="61"/>
      <c r="C69" s="61"/>
      <c r="D69" s="61"/>
      <c r="E69" s="61"/>
      <c r="F69" s="62"/>
      <c r="G69" s="61"/>
      <c r="H69" s="61"/>
      <c r="I69" s="61"/>
    </row>
    <row r="70" customFormat="false" ht="18.75" hidden="false" customHeight="true" outlineLevel="0" collapsed="false">
      <c r="B70" s="63"/>
      <c r="C70" s="63"/>
      <c r="D70" s="63"/>
      <c r="E70" s="63"/>
      <c r="F70" s="64"/>
      <c r="G70" s="63"/>
      <c r="H70" s="63"/>
      <c r="I70" s="63"/>
    </row>
    <row r="71" customFormat="false" ht="18.75" hidden="false" customHeight="true" outlineLevel="0" collapsed="false">
      <c r="B71" s="61"/>
      <c r="C71" s="61"/>
      <c r="D71" s="61"/>
      <c r="E71" s="61"/>
      <c r="F71" s="62"/>
      <c r="G71" s="61"/>
      <c r="H71" s="61"/>
      <c r="I71" s="61"/>
    </row>
    <row r="72" customFormat="false" ht="18.75" hidden="false" customHeight="true" outlineLevel="0" collapsed="false">
      <c r="B72" s="63"/>
      <c r="C72" s="63"/>
      <c r="D72" s="63"/>
      <c r="E72" s="63"/>
      <c r="F72" s="64"/>
      <c r="G72" s="63"/>
      <c r="H72" s="63"/>
      <c r="I72" s="63"/>
    </row>
    <row r="73" customFormat="false" ht="18.75" hidden="false" customHeight="true" outlineLevel="0" collapsed="false">
      <c r="B73" s="61"/>
      <c r="C73" s="61"/>
      <c r="D73" s="61"/>
      <c r="E73" s="61"/>
      <c r="F73" s="62"/>
      <c r="G73" s="61"/>
      <c r="H73" s="61"/>
      <c r="I73" s="61"/>
    </row>
    <row r="74" customFormat="false" ht="18.75" hidden="false" customHeight="true" outlineLevel="0" collapsed="false">
      <c r="B74" s="63"/>
      <c r="C74" s="63"/>
      <c r="D74" s="63"/>
      <c r="E74" s="63"/>
      <c r="F74" s="64"/>
      <c r="G74" s="63"/>
      <c r="H74" s="63"/>
      <c r="I74" s="63"/>
    </row>
    <row r="75" customFormat="false" ht="18.75" hidden="false" customHeight="true" outlineLevel="0" collapsed="false">
      <c r="B75" s="61"/>
      <c r="C75" s="61"/>
      <c r="D75" s="61"/>
      <c r="E75" s="61"/>
      <c r="F75" s="62"/>
      <c r="G75" s="61"/>
      <c r="H75" s="61"/>
      <c r="I75" s="61"/>
    </row>
    <row r="76" customFormat="false" ht="18.75" hidden="false" customHeight="true" outlineLevel="0" collapsed="false">
      <c r="B76" s="63"/>
      <c r="C76" s="63"/>
      <c r="D76" s="63"/>
      <c r="E76" s="63"/>
      <c r="F76" s="64"/>
      <c r="G76" s="63"/>
      <c r="H76" s="63"/>
      <c r="I76" s="63"/>
    </row>
    <row r="77" customFormat="false" ht="18.75" hidden="false" customHeight="true" outlineLevel="0" collapsed="false">
      <c r="B77" s="61"/>
      <c r="C77" s="61"/>
      <c r="D77" s="61"/>
      <c r="E77" s="61"/>
      <c r="F77" s="62"/>
      <c r="G77" s="61"/>
      <c r="H77" s="61"/>
      <c r="I77" s="61"/>
    </row>
    <row r="78" customFormat="false" ht="18.75" hidden="false" customHeight="true" outlineLevel="0" collapsed="false">
      <c r="B78" s="63"/>
      <c r="C78" s="63"/>
      <c r="D78" s="63"/>
      <c r="E78" s="63"/>
      <c r="F78" s="64"/>
      <c r="G78" s="63"/>
      <c r="H78" s="63"/>
      <c r="I78" s="63"/>
    </row>
    <row r="79" customFormat="false" ht="18.75" hidden="false" customHeight="true" outlineLevel="0" collapsed="false">
      <c r="B79" s="61"/>
      <c r="C79" s="61"/>
      <c r="D79" s="61"/>
      <c r="E79" s="61"/>
      <c r="F79" s="62"/>
      <c r="G79" s="61"/>
      <c r="H79" s="61"/>
      <c r="I79" s="61"/>
    </row>
    <row r="80" customFormat="false" ht="18.75" hidden="false" customHeight="true" outlineLevel="0" collapsed="false">
      <c r="B80" s="63"/>
      <c r="C80" s="63"/>
      <c r="D80" s="63"/>
      <c r="E80" s="63"/>
      <c r="F80" s="64"/>
      <c r="G80" s="63"/>
      <c r="H80" s="63"/>
      <c r="I80" s="63"/>
    </row>
    <row r="81" customFormat="false" ht="18.75" hidden="false" customHeight="true" outlineLevel="0" collapsed="false">
      <c r="B81" s="61"/>
      <c r="C81" s="61"/>
      <c r="D81" s="61"/>
      <c r="E81" s="61"/>
      <c r="F81" s="62"/>
      <c r="G81" s="61"/>
      <c r="H81" s="61"/>
      <c r="I81" s="61"/>
    </row>
    <row r="82" customFormat="false" ht="18.75" hidden="false" customHeight="true" outlineLevel="0" collapsed="false">
      <c r="B82" s="63"/>
      <c r="C82" s="63"/>
      <c r="D82" s="63"/>
      <c r="E82" s="63"/>
      <c r="F82" s="64"/>
      <c r="G82" s="63"/>
      <c r="H82" s="63"/>
      <c r="I82" s="63"/>
    </row>
    <row r="83" customFormat="false" ht="18.75" hidden="false" customHeight="true" outlineLevel="0" collapsed="false">
      <c r="B83" s="61"/>
      <c r="C83" s="61"/>
      <c r="D83" s="61"/>
      <c r="E83" s="61"/>
      <c r="F83" s="62"/>
      <c r="G83" s="61"/>
      <c r="H83" s="61"/>
      <c r="I83" s="61"/>
    </row>
    <row r="84" customFormat="false" ht="18.75" hidden="false" customHeight="true" outlineLevel="0" collapsed="false">
      <c r="B84" s="63"/>
      <c r="C84" s="63"/>
      <c r="D84" s="63"/>
      <c r="E84" s="63"/>
      <c r="F84" s="64"/>
      <c r="G84" s="63"/>
      <c r="H84" s="63"/>
      <c r="I84" s="63"/>
    </row>
    <row r="85" customFormat="false" ht="18.75" hidden="false" customHeight="true" outlineLevel="0" collapsed="false">
      <c r="B85" s="61"/>
      <c r="C85" s="61"/>
      <c r="D85" s="61"/>
      <c r="E85" s="61"/>
      <c r="F85" s="62"/>
      <c r="G85" s="61"/>
      <c r="H85" s="61"/>
      <c r="I85" s="61"/>
    </row>
    <row r="86" customFormat="false" ht="18.75" hidden="false" customHeight="true" outlineLevel="0" collapsed="false">
      <c r="B86" s="63"/>
      <c r="C86" s="63"/>
      <c r="D86" s="63"/>
      <c r="E86" s="63"/>
      <c r="F86" s="64"/>
      <c r="G86" s="63"/>
      <c r="H86" s="63"/>
      <c r="I86" s="63"/>
    </row>
    <row r="87" customFormat="false" ht="18.75" hidden="false" customHeight="true" outlineLevel="0" collapsed="false">
      <c r="B87" s="61"/>
      <c r="C87" s="61"/>
      <c r="D87" s="61"/>
      <c r="E87" s="61"/>
      <c r="F87" s="62"/>
      <c r="G87" s="61"/>
      <c r="H87" s="61"/>
      <c r="I87" s="61"/>
    </row>
    <row r="88" customFormat="false" ht="18.75" hidden="false" customHeight="true" outlineLevel="0" collapsed="false">
      <c r="B88" s="63"/>
      <c r="C88" s="63"/>
      <c r="D88" s="63"/>
      <c r="E88" s="63"/>
      <c r="F88" s="64"/>
      <c r="G88" s="63"/>
      <c r="H88" s="63"/>
      <c r="I88" s="63"/>
    </row>
    <row r="89" customFormat="false" ht="18.75" hidden="false" customHeight="true" outlineLevel="0" collapsed="false">
      <c r="B89" s="61"/>
      <c r="C89" s="61"/>
      <c r="D89" s="61"/>
      <c r="E89" s="61"/>
      <c r="F89" s="62"/>
      <c r="G89" s="61"/>
      <c r="H89" s="61"/>
      <c r="I89" s="61"/>
    </row>
    <row r="90" customFormat="false" ht="18.75" hidden="false" customHeight="true" outlineLevel="0" collapsed="false">
      <c r="B90" s="63"/>
      <c r="C90" s="63"/>
      <c r="D90" s="63"/>
      <c r="E90" s="63"/>
      <c r="F90" s="64"/>
      <c r="G90" s="63"/>
      <c r="H90" s="63"/>
      <c r="I90" s="63"/>
    </row>
    <row r="91" customFormat="false" ht="18.75" hidden="false" customHeight="true" outlineLevel="0" collapsed="false">
      <c r="B91" s="61"/>
      <c r="C91" s="61"/>
      <c r="D91" s="61"/>
      <c r="E91" s="61"/>
      <c r="F91" s="62"/>
      <c r="G91" s="61"/>
      <c r="H91" s="61"/>
      <c r="I91" s="61"/>
    </row>
    <row r="92" customFormat="false" ht="18.75" hidden="false" customHeight="true" outlineLevel="0" collapsed="false">
      <c r="B92" s="63"/>
      <c r="C92" s="63"/>
      <c r="D92" s="63"/>
      <c r="E92" s="63"/>
      <c r="F92" s="64"/>
      <c r="G92" s="63"/>
      <c r="H92" s="63"/>
      <c r="I92" s="63"/>
    </row>
    <row r="93" customFormat="false" ht="18.75" hidden="false" customHeight="true" outlineLevel="0" collapsed="false">
      <c r="B93" s="61"/>
      <c r="C93" s="61"/>
      <c r="D93" s="61"/>
      <c r="E93" s="61"/>
      <c r="F93" s="62"/>
      <c r="G93" s="61"/>
      <c r="H93" s="61"/>
      <c r="I93" s="61"/>
    </row>
    <row r="94" customFormat="false" ht="18.75" hidden="false" customHeight="true" outlineLevel="0" collapsed="false">
      <c r="B94" s="63"/>
      <c r="C94" s="63"/>
      <c r="D94" s="63"/>
      <c r="E94" s="63"/>
      <c r="F94" s="64"/>
      <c r="G94" s="63"/>
      <c r="H94" s="63"/>
      <c r="I94" s="63"/>
    </row>
    <row r="95" customFormat="false" ht="18.75" hidden="false" customHeight="true" outlineLevel="0" collapsed="false">
      <c r="B95" s="61"/>
      <c r="C95" s="61"/>
      <c r="D95" s="61"/>
      <c r="E95" s="61"/>
      <c r="F95" s="62"/>
      <c r="G95" s="61"/>
      <c r="H95" s="61"/>
      <c r="I95" s="61"/>
    </row>
    <row r="96" customFormat="false" ht="18.75" hidden="false" customHeight="true" outlineLevel="0" collapsed="false">
      <c r="B96" s="63"/>
      <c r="C96" s="63"/>
      <c r="D96" s="63"/>
      <c r="E96" s="63"/>
      <c r="F96" s="64"/>
      <c r="G96" s="63"/>
      <c r="H96" s="63"/>
      <c r="I96" s="63"/>
    </row>
    <row r="97" customFormat="false" ht="18.75" hidden="false" customHeight="true" outlineLevel="0" collapsed="false">
      <c r="B97" s="61"/>
      <c r="C97" s="61"/>
      <c r="D97" s="61"/>
      <c r="E97" s="61"/>
      <c r="F97" s="62"/>
      <c r="G97" s="61"/>
      <c r="H97" s="61"/>
      <c r="I97" s="61"/>
    </row>
    <row r="98" customFormat="false" ht="18.75" hidden="false" customHeight="true" outlineLevel="0" collapsed="false">
      <c r="B98" s="63"/>
      <c r="C98" s="63"/>
      <c r="D98" s="63"/>
      <c r="E98" s="63"/>
      <c r="F98" s="64"/>
      <c r="G98" s="63"/>
      <c r="H98" s="63"/>
      <c r="I98" s="63"/>
    </row>
    <row r="99" customFormat="false" ht="18.75" hidden="false" customHeight="true" outlineLevel="0" collapsed="false">
      <c r="B99" s="61"/>
      <c r="C99" s="61"/>
      <c r="D99" s="61"/>
      <c r="E99" s="61"/>
      <c r="F99" s="62"/>
      <c r="G99" s="61"/>
      <c r="H99" s="61"/>
      <c r="I99" s="61"/>
    </row>
    <row r="100" customFormat="false" ht="18.75" hidden="false" customHeight="true" outlineLevel="0" collapsed="false">
      <c r="B100" s="63"/>
      <c r="C100" s="63"/>
      <c r="D100" s="63"/>
      <c r="E100" s="63"/>
      <c r="F100" s="64"/>
      <c r="G100" s="63"/>
      <c r="H100" s="63"/>
      <c r="I100" s="63"/>
    </row>
    <row r="101" customFormat="false" ht="18.75" hidden="false" customHeight="true" outlineLevel="0" collapsed="false">
      <c r="B101" s="61"/>
      <c r="C101" s="61"/>
      <c r="D101" s="61"/>
      <c r="E101" s="61"/>
      <c r="F101" s="62"/>
      <c r="G101" s="61"/>
      <c r="H101" s="61"/>
      <c r="I101" s="61"/>
    </row>
    <row r="102" customFormat="false" ht="18.75" hidden="false" customHeight="true" outlineLevel="0" collapsed="false">
      <c r="B102" s="63"/>
      <c r="C102" s="63"/>
      <c r="D102" s="63"/>
      <c r="E102" s="63"/>
      <c r="F102" s="64"/>
      <c r="G102" s="63"/>
      <c r="H102" s="63"/>
      <c r="I102" s="63"/>
    </row>
    <row r="103" customFormat="false" ht="18.75" hidden="false" customHeight="true" outlineLevel="0" collapsed="false">
      <c r="B103" s="61"/>
      <c r="C103" s="61"/>
      <c r="D103" s="61"/>
      <c r="E103" s="61"/>
      <c r="F103" s="62"/>
      <c r="G103" s="61"/>
      <c r="H103" s="61"/>
      <c r="I103" s="61"/>
    </row>
    <row r="104" customFormat="false" ht="18.75" hidden="false" customHeight="true" outlineLevel="0" collapsed="false">
      <c r="B104" s="63"/>
      <c r="C104" s="63"/>
      <c r="D104" s="63"/>
      <c r="E104" s="63"/>
      <c r="F104" s="64"/>
      <c r="G104" s="63"/>
      <c r="H104" s="63"/>
      <c r="I104" s="63"/>
    </row>
    <row r="105" customFormat="false" ht="18.75" hidden="false" customHeight="true" outlineLevel="0" collapsed="false">
      <c r="B105" s="61"/>
      <c r="C105" s="61"/>
      <c r="D105" s="61"/>
      <c r="E105" s="61"/>
      <c r="F105" s="62"/>
      <c r="G105" s="61"/>
      <c r="H105" s="61"/>
      <c r="I105" s="61"/>
    </row>
    <row r="106" customFormat="false" ht="18.75" hidden="false" customHeight="true" outlineLevel="0" collapsed="false">
      <c r="B106" s="63"/>
      <c r="C106" s="63"/>
      <c r="D106" s="63"/>
      <c r="E106" s="63"/>
      <c r="F106" s="64"/>
      <c r="G106" s="63"/>
      <c r="H106" s="63"/>
      <c r="I106" s="63"/>
    </row>
    <row r="107" customFormat="false" ht="18.75" hidden="false" customHeight="true" outlineLevel="0" collapsed="false">
      <c r="B107" s="61"/>
      <c r="C107" s="61"/>
      <c r="D107" s="61"/>
      <c r="E107" s="61"/>
      <c r="F107" s="62"/>
      <c r="G107" s="61"/>
      <c r="H107" s="61"/>
      <c r="I107" s="61"/>
    </row>
    <row r="108" customFormat="false" ht="18.75" hidden="false" customHeight="true" outlineLevel="0" collapsed="false">
      <c r="B108" s="65" t="s">
        <v>96</v>
      </c>
      <c r="C108" s="65"/>
      <c r="D108" s="65"/>
      <c r="E108" s="65"/>
      <c r="F108" s="66" t="n">
        <f aca="false">SUM(E8:E107)</f>
        <v>0</v>
      </c>
    </row>
    <row r="109" customFormat="false" ht="18.75" hidden="false" customHeight="true" outlineLevel="0" collapsed="false"/>
    <row r="110" customFormat="false" ht="18.75" hidden="false" customHeight="true" outlineLevel="0" collapsed="false">
      <c r="B110" s="67" t="s">
        <v>97</v>
      </c>
      <c r="C110" s="67"/>
      <c r="D110" s="67"/>
      <c r="E110" s="67"/>
      <c r="F110" s="67"/>
      <c r="G110" s="67"/>
      <c r="H110" s="67"/>
    </row>
    <row r="111" customFormat="false" ht="18.75" hidden="false" customHeight="true" outlineLevel="0" collapsed="false"/>
    <row r="112" customFormat="false" ht="18.75" hidden="false" customHeight="true" outlineLevel="0" collapsed="false"/>
    <row r="113" customFormat="false" ht="18.75" hidden="false" customHeight="true" outlineLevel="0" collapsed="false"/>
    <row r="114" customFormat="false" ht="18.75" hidden="false" customHeight="true" outlineLevel="0" collapsed="false"/>
    <row r="115" customFormat="false" ht="18.75" hidden="false" customHeight="true" outlineLevel="0" collapsed="false"/>
    <row r="116" customFormat="false" ht="18.75" hidden="false" customHeight="true" outlineLevel="0" collapsed="false"/>
    <row r="117" customFormat="false" ht="18.75" hidden="false" customHeight="true" outlineLevel="0" collapsed="false"/>
    <row r="118" customFormat="false" ht="18.75" hidden="false" customHeight="true" outlineLevel="0" collapsed="false"/>
    <row r="119" customFormat="false" ht="18.75" hidden="false" customHeight="true" outlineLevel="0" collapsed="false"/>
  </sheetData>
  <mergeCells count="9">
    <mergeCell ref="B1:H2"/>
    <mergeCell ref="B4:C4"/>
    <mergeCell ref="D4:E4"/>
    <mergeCell ref="F4:G4"/>
    <mergeCell ref="B5:C5"/>
    <mergeCell ref="D5:E5"/>
    <mergeCell ref="F5:G5"/>
    <mergeCell ref="B108:E108"/>
    <mergeCell ref="B110:H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4"/>
  </cols>
  <sheetData>
    <row r="1" customFormat="false" ht="18.75" hidden="false" customHeight="true" outlineLevel="0" collapsed="false">
      <c r="B1" s="48" t="s">
        <v>188</v>
      </c>
      <c r="C1" s="48"/>
      <c r="D1" s="48"/>
      <c r="E1" s="48"/>
      <c r="F1" s="48"/>
      <c r="G1" s="48"/>
      <c r="H1" s="48"/>
    </row>
    <row r="2" customFormat="false" ht="18.75" hidden="false" customHeight="true" outlineLevel="0" collapsed="false">
      <c r="B2" s="48"/>
      <c r="C2" s="48"/>
      <c r="D2" s="48"/>
      <c r="E2" s="48"/>
      <c r="F2" s="48"/>
      <c r="G2" s="48"/>
      <c r="H2" s="48"/>
    </row>
    <row r="3" customFormat="false" ht="18.75" hidden="false" customHeight="true" outlineLevel="0" collapsed="false"/>
    <row r="4" customFormat="false" ht="18.75" hidden="false" customHeight="true" outlineLevel="0" collapsed="false">
      <c r="B4" s="49" t="s">
        <v>51</v>
      </c>
      <c r="C4" s="49"/>
      <c r="D4" s="50" t="s">
        <v>52</v>
      </c>
      <c r="E4" s="50"/>
      <c r="F4" s="51" t="s">
        <v>53</v>
      </c>
      <c r="G4" s="51"/>
    </row>
    <row r="5" customFormat="false" ht="18.75" hidden="false" customHeight="true" outlineLevel="0" collapsed="false">
      <c r="B5" s="52" t="n">
        <f aca="false">SUMIF(C8:C107,"Receita",E8:E107)</f>
        <v>0</v>
      </c>
      <c r="C5" s="52"/>
      <c r="D5" s="53" t="n">
        <f aca="false">SUMIF(C8:C107,"Despesa",E8:E107)</f>
        <v>0</v>
      </c>
      <c r="E5" s="53"/>
      <c r="F5" s="54" t="n">
        <f aca="false">B5-D5</f>
        <v>0</v>
      </c>
      <c r="G5" s="54"/>
    </row>
    <row r="6" customFormat="false" ht="18.75" hidden="false" customHeight="true" outlineLevel="0" collapsed="false"/>
    <row r="7" customFormat="false" ht="18.75" hidden="false" customHeight="true" outlineLevel="0" collapsed="false">
      <c r="B7" s="24" t="s">
        <v>54</v>
      </c>
      <c r="C7" s="24" t="s">
        <v>55</v>
      </c>
      <c r="D7" s="24" t="s">
        <v>20</v>
      </c>
      <c r="E7" s="24" t="s">
        <v>19</v>
      </c>
      <c r="F7" s="24" t="s">
        <v>56</v>
      </c>
      <c r="G7" s="24" t="s">
        <v>25</v>
      </c>
      <c r="H7" s="24" t="s">
        <v>57</v>
      </c>
      <c r="I7" s="24" t="s">
        <v>58</v>
      </c>
    </row>
    <row r="8" customFormat="false" ht="18.75" hidden="false" customHeight="true" outlineLevel="0" collapsed="false">
      <c r="B8" s="55" t="s">
        <v>189</v>
      </c>
      <c r="C8" s="56" t="s">
        <v>60</v>
      </c>
      <c r="D8" s="55" t="s">
        <v>61</v>
      </c>
      <c r="E8" s="55" t="s">
        <v>62</v>
      </c>
      <c r="F8" s="57" t="n">
        <v>3500</v>
      </c>
      <c r="G8" s="55" t="s">
        <v>63</v>
      </c>
      <c r="H8" s="55" t="s">
        <v>64</v>
      </c>
      <c r="I8" s="55" t="s">
        <v>65</v>
      </c>
    </row>
    <row r="9" customFormat="false" ht="18.75" hidden="false" customHeight="true" outlineLevel="0" collapsed="false">
      <c r="B9" s="58" t="s">
        <v>189</v>
      </c>
      <c r="C9" s="59" t="s">
        <v>66</v>
      </c>
      <c r="D9" s="58" t="s">
        <v>61</v>
      </c>
      <c r="E9" s="58" t="s">
        <v>62</v>
      </c>
      <c r="F9" s="60" t="n">
        <v>500</v>
      </c>
      <c r="G9" s="58" t="s">
        <v>63</v>
      </c>
      <c r="H9" s="58" t="s">
        <v>67</v>
      </c>
      <c r="I9" s="58" t="s">
        <v>68</v>
      </c>
    </row>
    <row r="10" customFormat="false" ht="18.75" hidden="false" customHeight="true" outlineLevel="0" collapsed="false">
      <c r="B10" s="55" t="s">
        <v>190</v>
      </c>
      <c r="C10" s="56" t="s">
        <v>70</v>
      </c>
      <c r="D10" s="55" t="s">
        <v>71</v>
      </c>
      <c r="E10" s="55" t="s">
        <v>26</v>
      </c>
      <c r="F10" s="57" t="n">
        <v>1200</v>
      </c>
      <c r="G10" s="55" t="s">
        <v>72</v>
      </c>
      <c r="H10" s="55" t="s">
        <v>73</v>
      </c>
      <c r="I10" s="55" t="s">
        <v>74</v>
      </c>
    </row>
    <row r="11" customFormat="false" ht="18.75" hidden="false" customHeight="true" outlineLevel="0" collapsed="false">
      <c r="B11" s="58" t="s">
        <v>191</v>
      </c>
      <c r="C11" s="59" t="s">
        <v>76</v>
      </c>
      <c r="D11" s="58" t="s">
        <v>71</v>
      </c>
      <c r="E11" s="58" t="s">
        <v>30</v>
      </c>
      <c r="F11" s="60" t="n">
        <v>450</v>
      </c>
      <c r="G11" s="58" t="s">
        <v>72</v>
      </c>
      <c r="H11" s="58" t="s">
        <v>77</v>
      </c>
      <c r="I11" s="58" t="s">
        <v>78</v>
      </c>
    </row>
    <row r="12" customFormat="false" ht="18.75" hidden="false" customHeight="true" outlineLevel="0" collapsed="false">
      <c r="B12" s="55" t="s">
        <v>192</v>
      </c>
      <c r="C12" s="56" t="s">
        <v>80</v>
      </c>
      <c r="D12" s="55" t="s">
        <v>71</v>
      </c>
      <c r="E12" s="55" t="s">
        <v>28</v>
      </c>
      <c r="F12" s="57" t="n">
        <v>150</v>
      </c>
      <c r="G12" s="55" t="s">
        <v>72</v>
      </c>
      <c r="H12" s="55" t="s">
        <v>81</v>
      </c>
      <c r="I12" s="55"/>
    </row>
    <row r="13" customFormat="false" ht="18.75" hidden="false" customHeight="true" outlineLevel="0" collapsed="false">
      <c r="B13" s="58" t="s">
        <v>193</v>
      </c>
      <c r="C13" s="59" t="s">
        <v>83</v>
      </c>
      <c r="D13" s="58" t="s">
        <v>71</v>
      </c>
      <c r="E13" s="58" t="s">
        <v>29</v>
      </c>
      <c r="F13" s="60" t="n">
        <v>200</v>
      </c>
      <c r="G13" s="58" t="s">
        <v>72</v>
      </c>
      <c r="H13" s="58" t="s">
        <v>84</v>
      </c>
      <c r="I13" s="58"/>
    </row>
    <row r="14" customFormat="false" ht="18.75" hidden="false" customHeight="true" outlineLevel="0" collapsed="false">
      <c r="B14" s="55" t="s">
        <v>194</v>
      </c>
      <c r="C14" s="56" t="s">
        <v>86</v>
      </c>
      <c r="D14" s="55" t="s">
        <v>71</v>
      </c>
      <c r="E14" s="55" t="s">
        <v>38</v>
      </c>
      <c r="F14" s="57" t="n">
        <v>500</v>
      </c>
      <c r="G14" s="55" t="s">
        <v>72</v>
      </c>
      <c r="H14" s="55" t="s">
        <v>87</v>
      </c>
      <c r="I14" s="55" t="s">
        <v>88</v>
      </c>
    </row>
    <row r="15" customFormat="false" ht="18.75" hidden="false" customHeight="true" outlineLevel="0" collapsed="false">
      <c r="B15" s="58" t="s">
        <v>195</v>
      </c>
      <c r="C15" s="59" t="s">
        <v>90</v>
      </c>
      <c r="D15" s="58" t="s">
        <v>71</v>
      </c>
      <c r="E15" s="58" t="s">
        <v>32</v>
      </c>
      <c r="F15" s="60" t="n">
        <v>100</v>
      </c>
      <c r="G15" s="58" t="s">
        <v>91</v>
      </c>
      <c r="H15" s="58" t="s">
        <v>92</v>
      </c>
      <c r="I15" s="58"/>
    </row>
    <row r="16" customFormat="false" ht="18.75" hidden="false" customHeight="true" outlineLevel="0" collapsed="false">
      <c r="B16" s="55" t="s">
        <v>196</v>
      </c>
      <c r="C16" s="56" t="s">
        <v>94</v>
      </c>
      <c r="D16" s="55" t="s">
        <v>71</v>
      </c>
      <c r="E16" s="55" t="s">
        <v>36</v>
      </c>
      <c r="F16" s="57" t="n">
        <v>60</v>
      </c>
      <c r="G16" s="55" t="s">
        <v>91</v>
      </c>
      <c r="H16" s="55" t="s">
        <v>95</v>
      </c>
      <c r="I16" s="55"/>
    </row>
    <row r="17" customFormat="false" ht="18.75" hidden="false" customHeight="true" outlineLevel="0" collapsed="false">
      <c r="B17" s="61"/>
      <c r="C17" s="61"/>
      <c r="D17" s="61"/>
      <c r="E17" s="61"/>
      <c r="F17" s="62"/>
      <c r="G17" s="61"/>
      <c r="H17" s="61"/>
      <c r="I17" s="61"/>
    </row>
    <row r="18" customFormat="false" ht="18.75" hidden="false" customHeight="true" outlineLevel="0" collapsed="false">
      <c r="B18" s="63"/>
      <c r="C18" s="63"/>
      <c r="D18" s="63"/>
      <c r="E18" s="63"/>
      <c r="F18" s="64"/>
      <c r="G18" s="63"/>
      <c r="H18" s="63"/>
      <c r="I18" s="63"/>
    </row>
    <row r="19" customFormat="false" ht="18.75" hidden="false" customHeight="true" outlineLevel="0" collapsed="false">
      <c r="B19" s="61"/>
      <c r="C19" s="61"/>
      <c r="D19" s="61"/>
      <c r="E19" s="61"/>
      <c r="F19" s="62"/>
      <c r="G19" s="61"/>
      <c r="H19" s="61"/>
      <c r="I19" s="61"/>
    </row>
    <row r="20" customFormat="false" ht="18.75" hidden="false" customHeight="true" outlineLevel="0" collapsed="false">
      <c r="B20" s="63"/>
      <c r="C20" s="63"/>
      <c r="D20" s="63"/>
      <c r="E20" s="63"/>
      <c r="F20" s="64"/>
      <c r="G20" s="63"/>
      <c r="H20" s="63"/>
      <c r="I20" s="63"/>
    </row>
    <row r="21" customFormat="false" ht="18.75" hidden="false" customHeight="true" outlineLevel="0" collapsed="false">
      <c r="B21" s="61"/>
      <c r="C21" s="61"/>
      <c r="D21" s="61"/>
      <c r="E21" s="61"/>
      <c r="F21" s="62"/>
      <c r="G21" s="61"/>
      <c r="H21" s="61"/>
      <c r="I21" s="61"/>
    </row>
    <row r="22" customFormat="false" ht="18.75" hidden="false" customHeight="true" outlineLevel="0" collapsed="false">
      <c r="B22" s="63"/>
      <c r="C22" s="63"/>
      <c r="D22" s="63"/>
      <c r="E22" s="63"/>
      <c r="F22" s="64"/>
      <c r="G22" s="63"/>
      <c r="H22" s="63"/>
      <c r="I22" s="63"/>
    </row>
    <row r="23" customFormat="false" ht="18.75" hidden="false" customHeight="true" outlineLevel="0" collapsed="false">
      <c r="B23" s="61"/>
      <c r="C23" s="61"/>
      <c r="D23" s="61"/>
      <c r="E23" s="61"/>
      <c r="F23" s="62"/>
      <c r="G23" s="61"/>
      <c r="H23" s="61"/>
      <c r="I23" s="61"/>
    </row>
    <row r="24" customFormat="false" ht="18.75" hidden="false" customHeight="true" outlineLevel="0" collapsed="false">
      <c r="B24" s="63"/>
      <c r="C24" s="63"/>
      <c r="D24" s="63"/>
      <c r="E24" s="63"/>
      <c r="F24" s="64"/>
      <c r="G24" s="63"/>
      <c r="H24" s="63"/>
      <c r="I24" s="63"/>
    </row>
    <row r="25" customFormat="false" ht="18.75" hidden="false" customHeight="true" outlineLevel="0" collapsed="false">
      <c r="B25" s="61"/>
      <c r="C25" s="61"/>
      <c r="D25" s="61"/>
      <c r="E25" s="61"/>
      <c r="F25" s="62"/>
      <c r="G25" s="61"/>
      <c r="H25" s="61"/>
      <c r="I25" s="61"/>
    </row>
    <row r="26" customFormat="false" ht="18.75" hidden="false" customHeight="true" outlineLevel="0" collapsed="false">
      <c r="B26" s="63"/>
      <c r="C26" s="63"/>
      <c r="D26" s="63"/>
      <c r="E26" s="63"/>
      <c r="F26" s="64"/>
      <c r="G26" s="63"/>
      <c r="H26" s="63"/>
      <c r="I26" s="63"/>
    </row>
    <row r="27" customFormat="false" ht="18.75" hidden="false" customHeight="true" outlineLevel="0" collapsed="false">
      <c r="B27" s="61"/>
      <c r="C27" s="61"/>
      <c r="D27" s="61"/>
      <c r="E27" s="61"/>
      <c r="F27" s="62"/>
      <c r="G27" s="61"/>
      <c r="H27" s="61"/>
      <c r="I27" s="61"/>
    </row>
    <row r="28" customFormat="false" ht="18.75" hidden="false" customHeight="true" outlineLevel="0" collapsed="false">
      <c r="B28" s="63"/>
      <c r="C28" s="63"/>
      <c r="D28" s="63"/>
      <c r="E28" s="63"/>
      <c r="F28" s="64"/>
      <c r="G28" s="63"/>
      <c r="H28" s="63"/>
      <c r="I28" s="63"/>
    </row>
    <row r="29" customFormat="false" ht="18.75" hidden="false" customHeight="true" outlineLevel="0" collapsed="false">
      <c r="B29" s="61"/>
      <c r="C29" s="61"/>
      <c r="D29" s="61"/>
      <c r="E29" s="61"/>
      <c r="F29" s="62"/>
      <c r="G29" s="61"/>
      <c r="H29" s="61"/>
      <c r="I29" s="61"/>
    </row>
    <row r="30" customFormat="false" ht="18.75" hidden="false" customHeight="true" outlineLevel="0" collapsed="false">
      <c r="B30" s="63"/>
      <c r="C30" s="63"/>
      <c r="D30" s="63"/>
      <c r="E30" s="63"/>
      <c r="F30" s="64"/>
      <c r="G30" s="63"/>
      <c r="H30" s="63"/>
      <c r="I30" s="63"/>
    </row>
    <row r="31" customFormat="false" ht="18.75" hidden="false" customHeight="true" outlineLevel="0" collapsed="false">
      <c r="B31" s="61"/>
      <c r="C31" s="61"/>
      <c r="D31" s="61"/>
      <c r="E31" s="61"/>
      <c r="F31" s="62"/>
      <c r="G31" s="61"/>
      <c r="H31" s="61"/>
      <c r="I31" s="61"/>
    </row>
    <row r="32" customFormat="false" ht="18.75" hidden="false" customHeight="true" outlineLevel="0" collapsed="false">
      <c r="B32" s="63"/>
      <c r="C32" s="63"/>
      <c r="D32" s="63"/>
      <c r="E32" s="63"/>
      <c r="F32" s="64"/>
      <c r="G32" s="63"/>
      <c r="H32" s="63"/>
      <c r="I32" s="63"/>
    </row>
    <row r="33" customFormat="false" ht="18.75" hidden="false" customHeight="true" outlineLevel="0" collapsed="false">
      <c r="B33" s="61"/>
      <c r="C33" s="61"/>
      <c r="D33" s="61"/>
      <c r="E33" s="61"/>
      <c r="F33" s="62"/>
      <c r="G33" s="61"/>
      <c r="H33" s="61"/>
      <c r="I33" s="61"/>
    </row>
    <row r="34" customFormat="false" ht="18.75" hidden="false" customHeight="true" outlineLevel="0" collapsed="false">
      <c r="B34" s="63"/>
      <c r="C34" s="63"/>
      <c r="D34" s="63"/>
      <c r="E34" s="63"/>
      <c r="F34" s="64"/>
      <c r="G34" s="63"/>
      <c r="H34" s="63"/>
      <c r="I34" s="63"/>
    </row>
    <row r="35" customFormat="false" ht="18.75" hidden="false" customHeight="true" outlineLevel="0" collapsed="false">
      <c r="B35" s="61"/>
      <c r="C35" s="61"/>
      <c r="D35" s="61"/>
      <c r="E35" s="61"/>
      <c r="F35" s="62"/>
      <c r="G35" s="61"/>
      <c r="H35" s="61"/>
      <c r="I35" s="61"/>
    </row>
    <row r="36" customFormat="false" ht="18.75" hidden="false" customHeight="true" outlineLevel="0" collapsed="false">
      <c r="B36" s="63"/>
      <c r="C36" s="63"/>
      <c r="D36" s="63"/>
      <c r="E36" s="63"/>
      <c r="F36" s="64"/>
      <c r="G36" s="63"/>
      <c r="H36" s="63"/>
      <c r="I36" s="63"/>
    </row>
    <row r="37" customFormat="false" ht="18.75" hidden="false" customHeight="true" outlineLevel="0" collapsed="false">
      <c r="B37" s="61"/>
      <c r="C37" s="61"/>
      <c r="D37" s="61"/>
      <c r="E37" s="61"/>
      <c r="F37" s="62"/>
      <c r="G37" s="61"/>
      <c r="H37" s="61"/>
      <c r="I37" s="61"/>
    </row>
    <row r="38" customFormat="false" ht="18.75" hidden="false" customHeight="true" outlineLevel="0" collapsed="false">
      <c r="B38" s="63"/>
      <c r="C38" s="63"/>
      <c r="D38" s="63"/>
      <c r="E38" s="63"/>
      <c r="F38" s="64"/>
      <c r="G38" s="63"/>
      <c r="H38" s="63"/>
      <c r="I38" s="63"/>
    </row>
    <row r="39" customFormat="false" ht="18.75" hidden="false" customHeight="true" outlineLevel="0" collapsed="false">
      <c r="B39" s="61"/>
      <c r="C39" s="61"/>
      <c r="D39" s="61"/>
      <c r="E39" s="61"/>
      <c r="F39" s="62"/>
      <c r="G39" s="61"/>
      <c r="H39" s="61"/>
      <c r="I39" s="61"/>
    </row>
    <row r="40" customFormat="false" ht="18.75" hidden="false" customHeight="true" outlineLevel="0" collapsed="false">
      <c r="B40" s="63"/>
      <c r="C40" s="63"/>
      <c r="D40" s="63"/>
      <c r="E40" s="63"/>
      <c r="F40" s="64"/>
      <c r="G40" s="63"/>
      <c r="H40" s="63"/>
      <c r="I40" s="63"/>
    </row>
    <row r="41" customFormat="false" ht="18.75" hidden="false" customHeight="true" outlineLevel="0" collapsed="false">
      <c r="B41" s="61"/>
      <c r="C41" s="61"/>
      <c r="D41" s="61"/>
      <c r="E41" s="61"/>
      <c r="F41" s="62"/>
      <c r="G41" s="61"/>
      <c r="H41" s="61"/>
      <c r="I41" s="61"/>
    </row>
    <row r="42" customFormat="false" ht="18.75" hidden="false" customHeight="true" outlineLevel="0" collapsed="false">
      <c r="B42" s="63"/>
      <c r="C42" s="63"/>
      <c r="D42" s="63"/>
      <c r="E42" s="63"/>
      <c r="F42" s="64"/>
      <c r="G42" s="63"/>
      <c r="H42" s="63"/>
      <c r="I42" s="63"/>
    </row>
    <row r="43" customFormat="false" ht="18.75" hidden="false" customHeight="true" outlineLevel="0" collapsed="false">
      <c r="B43" s="61"/>
      <c r="C43" s="61"/>
      <c r="D43" s="61"/>
      <c r="E43" s="61"/>
      <c r="F43" s="62"/>
      <c r="G43" s="61"/>
      <c r="H43" s="61"/>
      <c r="I43" s="61"/>
    </row>
    <row r="44" customFormat="false" ht="18.75" hidden="false" customHeight="true" outlineLevel="0" collapsed="false">
      <c r="B44" s="63"/>
      <c r="C44" s="63"/>
      <c r="D44" s="63"/>
      <c r="E44" s="63"/>
      <c r="F44" s="64"/>
      <c r="G44" s="63"/>
      <c r="H44" s="63"/>
      <c r="I44" s="63"/>
    </row>
    <row r="45" customFormat="false" ht="18.75" hidden="false" customHeight="true" outlineLevel="0" collapsed="false">
      <c r="B45" s="61"/>
      <c r="C45" s="61"/>
      <c r="D45" s="61"/>
      <c r="E45" s="61"/>
      <c r="F45" s="62"/>
      <c r="G45" s="61"/>
      <c r="H45" s="61"/>
      <c r="I45" s="61"/>
    </row>
    <row r="46" customFormat="false" ht="18.75" hidden="false" customHeight="true" outlineLevel="0" collapsed="false">
      <c r="B46" s="63"/>
      <c r="C46" s="63"/>
      <c r="D46" s="63"/>
      <c r="E46" s="63"/>
      <c r="F46" s="64"/>
      <c r="G46" s="63"/>
      <c r="H46" s="63"/>
      <c r="I46" s="63"/>
    </row>
    <row r="47" customFormat="false" ht="18.75" hidden="false" customHeight="true" outlineLevel="0" collapsed="false">
      <c r="B47" s="61"/>
      <c r="C47" s="61"/>
      <c r="D47" s="61"/>
      <c r="E47" s="61"/>
      <c r="F47" s="62"/>
      <c r="G47" s="61"/>
      <c r="H47" s="61"/>
      <c r="I47" s="61"/>
    </row>
    <row r="48" customFormat="false" ht="18.75" hidden="false" customHeight="true" outlineLevel="0" collapsed="false">
      <c r="B48" s="63"/>
      <c r="C48" s="63"/>
      <c r="D48" s="63"/>
      <c r="E48" s="63"/>
      <c r="F48" s="64"/>
      <c r="G48" s="63"/>
      <c r="H48" s="63"/>
      <c r="I48" s="63"/>
    </row>
    <row r="49" customFormat="false" ht="18.75" hidden="false" customHeight="true" outlineLevel="0" collapsed="false">
      <c r="B49" s="61"/>
      <c r="C49" s="61"/>
      <c r="D49" s="61"/>
      <c r="E49" s="61"/>
      <c r="F49" s="62"/>
      <c r="G49" s="61"/>
      <c r="H49" s="61"/>
      <c r="I49" s="61"/>
    </row>
    <row r="50" customFormat="false" ht="18.75" hidden="false" customHeight="true" outlineLevel="0" collapsed="false">
      <c r="B50" s="63"/>
      <c r="C50" s="63"/>
      <c r="D50" s="63"/>
      <c r="E50" s="63"/>
      <c r="F50" s="64"/>
      <c r="G50" s="63"/>
      <c r="H50" s="63"/>
      <c r="I50" s="63"/>
    </row>
    <row r="51" customFormat="false" ht="18.75" hidden="false" customHeight="true" outlineLevel="0" collapsed="false">
      <c r="B51" s="61"/>
      <c r="C51" s="61"/>
      <c r="D51" s="61"/>
      <c r="E51" s="61"/>
      <c r="F51" s="62"/>
      <c r="G51" s="61"/>
      <c r="H51" s="61"/>
      <c r="I51" s="61"/>
    </row>
    <row r="52" customFormat="false" ht="18.75" hidden="false" customHeight="true" outlineLevel="0" collapsed="false">
      <c r="B52" s="63"/>
      <c r="C52" s="63"/>
      <c r="D52" s="63"/>
      <c r="E52" s="63"/>
      <c r="F52" s="64"/>
      <c r="G52" s="63"/>
      <c r="H52" s="63"/>
      <c r="I52" s="63"/>
    </row>
    <row r="53" customFormat="false" ht="18.75" hidden="false" customHeight="true" outlineLevel="0" collapsed="false">
      <c r="B53" s="61"/>
      <c r="C53" s="61"/>
      <c r="D53" s="61"/>
      <c r="E53" s="61"/>
      <c r="F53" s="62"/>
      <c r="G53" s="61"/>
      <c r="H53" s="61"/>
      <c r="I53" s="61"/>
    </row>
    <row r="54" customFormat="false" ht="18.75" hidden="false" customHeight="true" outlineLevel="0" collapsed="false">
      <c r="B54" s="63"/>
      <c r="C54" s="63"/>
      <c r="D54" s="63"/>
      <c r="E54" s="63"/>
      <c r="F54" s="64"/>
      <c r="G54" s="63"/>
      <c r="H54" s="63"/>
      <c r="I54" s="63"/>
    </row>
    <row r="55" customFormat="false" ht="18.75" hidden="false" customHeight="true" outlineLevel="0" collapsed="false">
      <c r="B55" s="61"/>
      <c r="C55" s="61"/>
      <c r="D55" s="61"/>
      <c r="E55" s="61"/>
      <c r="F55" s="62"/>
      <c r="G55" s="61"/>
      <c r="H55" s="61"/>
      <c r="I55" s="61"/>
    </row>
    <row r="56" customFormat="false" ht="18.75" hidden="false" customHeight="true" outlineLevel="0" collapsed="false">
      <c r="B56" s="63"/>
      <c r="C56" s="63"/>
      <c r="D56" s="63"/>
      <c r="E56" s="63"/>
      <c r="F56" s="64"/>
      <c r="G56" s="63"/>
      <c r="H56" s="63"/>
      <c r="I56" s="63"/>
    </row>
    <row r="57" customFormat="false" ht="18.75" hidden="false" customHeight="true" outlineLevel="0" collapsed="false">
      <c r="B57" s="61"/>
      <c r="C57" s="61"/>
      <c r="D57" s="61"/>
      <c r="E57" s="61"/>
      <c r="F57" s="62"/>
      <c r="G57" s="61"/>
      <c r="H57" s="61"/>
      <c r="I57" s="61"/>
    </row>
    <row r="58" customFormat="false" ht="18.75" hidden="false" customHeight="true" outlineLevel="0" collapsed="false">
      <c r="B58" s="63"/>
      <c r="C58" s="63"/>
      <c r="D58" s="63"/>
      <c r="E58" s="63"/>
      <c r="F58" s="64"/>
      <c r="G58" s="63"/>
      <c r="H58" s="63"/>
      <c r="I58" s="63"/>
    </row>
    <row r="59" customFormat="false" ht="18.75" hidden="false" customHeight="true" outlineLevel="0" collapsed="false">
      <c r="B59" s="61"/>
      <c r="C59" s="61"/>
      <c r="D59" s="61"/>
      <c r="E59" s="61"/>
      <c r="F59" s="62"/>
      <c r="G59" s="61"/>
      <c r="H59" s="61"/>
      <c r="I59" s="61"/>
    </row>
    <row r="60" customFormat="false" ht="18.75" hidden="false" customHeight="true" outlineLevel="0" collapsed="false">
      <c r="B60" s="63"/>
      <c r="C60" s="63"/>
      <c r="D60" s="63"/>
      <c r="E60" s="63"/>
      <c r="F60" s="64"/>
      <c r="G60" s="63"/>
      <c r="H60" s="63"/>
      <c r="I60" s="63"/>
    </row>
    <row r="61" customFormat="false" ht="18.75" hidden="false" customHeight="true" outlineLevel="0" collapsed="false">
      <c r="B61" s="61"/>
      <c r="C61" s="61"/>
      <c r="D61" s="61"/>
      <c r="E61" s="61"/>
      <c r="F61" s="62"/>
      <c r="G61" s="61"/>
      <c r="H61" s="61"/>
      <c r="I61" s="61"/>
    </row>
    <row r="62" customFormat="false" ht="18.75" hidden="false" customHeight="true" outlineLevel="0" collapsed="false">
      <c r="B62" s="63"/>
      <c r="C62" s="63"/>
      <c r="D62" s="63"/>
      <c r="E62" s="63"/>
      <c r="F62" s="64"/>
      <c r="G62" s="63"/>
      <c r="H62" s="63"/>
      <c r="I62" s="63"/>
    </row>
    <row r="63" customFormat="false" ht="18.75" hidden="false" customHeight="true" outlineLevel="0" collapsed="false">
      <c r="B63" s="61"/>
      <c r="C63" s="61"/>
      <c r="D63" s="61"/>
      <c r="E63" s="61"/>
      <c r="F63" s="62"/>
      <c r="G63" s="61"/>
      <c r="H63" s="61"/>
      <c r="I63" s="61"/>
    </row>
    <row r="64" customFormat="false" ht="18.75" hidden="false" customHeight="true" outlineLevel="0" collapsed="false">
      <c r="B64" s="63"/>
      <c r="C64" s="63"/>
      <c r="D64" s="63"/>
      <c r="E64" s="63"/>
      <c r="F64" s="64"/>
      <c r="G64" s="63"/>
      <c r="H64" s="63"/>
      <c r="I64" s="63"/>
    </row>
    <row r="65" customFormat="false" ht="18.75" hidden="false" customHeight="true" outlineLevel="0" collapsed="false">
      <c r="B65" s="61"/>
      <c r="C65" s="61"/>
      <c r="D65" s="61"/>
      <c r="E65" s="61"/>
      <c r="F65" s="62"/>
      <c r="G65" s="61"/>
      <c r="H65" s="61"/>
      <c r="I65" s="61"/>
    </row>
    <row r="66" customFormat="false" ht="18.75" hidden="false" customHeight="true" outlineLevel="0" collapsed="false">
      <c r="B66" s="63"/>
      <c r="C66" s="63"/>
      <c r="D66" s="63"/>
      <c r="E66" s="63"/>
      <c r="F66" s="64"/>
      <c r="G66" s="63"/>
      <c r="H66" s="63"/>
      <c r="I66" s="63"/>
    </row>
    <row r="67" customFormat="false" ht="18.75" hidden="false" customHeight="true" outlineLevel="0" collapsed="false">
      <c r="B67" s="61"/>
      <c r="C67" s="61"/>
      <c r="D67" s="61"/>
      <c r="E67" s="61"/>
      <c r="F67" s="62"/>
      <c r="G67" s="61"/>
      <c r="H67" s="61"/>
      <c r="I67" s="61"/>
    </row>
    <row r="68" customFormat="false" ht="18.75" hidden="false" customHeight="true" outlineLevel="0" collapsed="false">
      <c r="B68" s="63"/>
      <c r="C68" s="63"/>
      <c r="D68" s="63"/>
      <c r="E68" s="63"/>
      <c r="F68" s="64"/>
      <c r="G68" s="63"/>
      <c r="H68" s="63"/>
      <c r="I68" s="63"/>
    </row>
    <row r="69" customFormat="false" ht="18.75" hidden="false" customHeight="true" outlineLevel="0" collapsed="false">
      <c r="B69" s="61"/>
      <c r="C69" s="61"/>
      <c r="D69" s="61"/>
      <c r="E69" s="61"/>
      <c r="F69" s="62"/>
      <c r="G69" s="61"/>
      <c r="H69" s="61"/>
      <c r="I69" s="61"/>
    </row>
    <row r="70" customFormat="false" ht="18.75" hidden="false" customHeight="true" outlineLevel="0" collapsed="false">
      <c r="B70" s="63"/>
      <c r="C70" s="63"/>
      <c r="D70" s="63"/>
      <c r="E70" s="63"/>
      <c r="F70" s="64"/>
      <c r="G70" s="63"/>
      <c r="H70" s="63"/>
      <c r="I70" s="63"/>
    </row>
    <row r="71" customFormat="false" ht="18.75" hidden="false" customHeight="true" outlineLevel="0" collapsed="false">
      <c r="B71" s="61"/>
      <c r="C71" s="61"/>
      <c r="D71" s="61"/>
      <c r="E71" s="61"/>
      <c r="F71" s="62"/>
      <c r="G71" s="61"/>
      <c r="H71" s="61"/>
      <c r="I71" s="61"/>
    </row>
    <row r="72" customFormat="false" ht="18.75" hidden="false" customHeight="true" outlineLevel="0" collapsed="false">
      <c r="B72" s="63"/>
      <c r="C72" s="63"/>
      <c r="D72" s="63"/>
      <c r="E72" s="63"/>
      <c r="F72" s="64"/>
      <c r="G72" s="63"/>
      <c r="H72" s="63"/>
      <c r="I72" s="63"/>
    </row>
    <row r="73" customFormat="false" ht="18.75" hidden="false" customHeight="true" outlineLevel="0" collapsed="false">
      <c r="B73" s="61"/>
      <c r="C73" s="61"/>
      <c r="D73" s="61"/>
      <c r="E73" s="61"/>
      <c r="F73" s="62"/>
      <c r="G73" s="61"/>
      <c r="H73" s="61"/>
      <c r="I73" s="61"/>
    </row>
    <row r="74" customFormat="false" ht="18.75" hidden="false" customHeight="true" outlineLevel="0" collapsed="false">
      <c r="B74" s="63"/>
      <c r="C74" s="63"/>
      <c r="D74" s="63"/>
      <c r="E74" s="63"/>
      <c r="F74" s="64"/>
      <c r="G74" s="63"/>
      <c r="H74" s="63"/>
      <c r="I74" s="63"/>
    </row>
    <row r="75" customFormat="false" ht="18.75" hidden="false" customHeight="true" outlineLevel="0" collapsed="false">
      <c r="B75" s="61"/>
      <c r="C75" s="61"/>
      <c r="D75" s="61"/>
      <c r="E75" s="61"/>
      <c r="F75" s="62"/>
      <c r="G75" s="61"/>
      <c r="H75" s="61"/>
      <c r="I75" s="61"/>
    </row>
    <row r="76" customFormat="false" ht="18.75" hidden="false" customHeight="true" outlineLevel="0" collapsed="false">
      <c r="B76" s="63"/>
      <c r="C76" s="63"/>
      <c r="D76" s="63"/>
      <c r="E76" s="63"/>
      <c r="F76" s="64"/>
      <c r="G76" s="63"/>
      <c r="H76" s="63"/>
      <c r="I76" s="63"/>
    </row>
    <row r="77" customFormat="false" ht="18.75" hidden="false" customHeight="true" outlineLevel="0" collapsed="false">
      <c r="B77" s="61"/>
      <c r="C77" s="61"/>
      <c r="D77" s="61"/>
      <c r="E77" s="61"/>
      <c r="F77" s="62"/>
      <c r="G77" s="61"/>
      <c r="H77" s="61"/>
      <c r="I77" s="61"/>
    </row>
    <row r="78" customFormat="false" ht="18.75" hidden="false" customHeight="true" outlineLevel="0" collapsed="false">
      <c r="B78" s="63"/>
      <c r="C78" s="63"/>
      <c r="D78" s="63"/>
      <c r="E78" s="63"/>
      <c r="F78" s="64"/>
      <c r="G78" s="63"/>
      <c r="H78" s="63"/>
      <c r="I78" s="63"/>
    </row>
    <row r="79" customFormat="false" ht="18.75" hidden="false" customHeight="true" outlineLevel="0" collapsed="false">
      <c r="B79" s="61"/>
      <c r="C79" s="61"/>
      <c r="D79" s="61"/>
      <c r="E79" s="61"/>
      <c r="F79" s="62"/>
      <c r="G79" s="61"/>
      <c r="H79" s="61"/>
      <c r="I79" s="61"/>
    </row>
    <row r="80" customFormat="false" ht="18.75" hidden="false" customHeight="true" outlineLevel="0" collapsed="false">
      <c r="B80" s="63"/>
      <c r="C80" s="63"/>
      <c r="D80" s="63"/>
      <c r="E80" s="63"/>
      <c r="F80" s="64"/>
      <c r="G80" s="63"/>
      <c r="H80" s="63"/>
      <c r="I80" s="63"/>
    </row>
    <row r="81" customFormat="false" ht="18.75" hidden="false" customHeight="true" outlineLevel="0" collapsed="false">
      <c r="B81" s="61"/>
      <c r="C81" s="61"/>
      <c r="D81" s="61"/>
      <c r="E81" s="61"/>
      <c r="F81" s="62"/>
      <c r="G81" s="61"/>
      <c r="H81" s="61"/>
      <c r="I81" s="61"/>
    </row>
    <row r="82" customFormat="false" ht="18.75" hidden="false" customHeight="true" outlineLevel="0" collapsed="false">
      <c r="B82" s="63"/>
      <c r="C82" s="63"/>
      <c r="D82" s="63"/>
      <c r="E82" s="63"/>
      <c r="F82" s="64"/>
      <c r="G82" s="63"/>
      <c r="H82" s="63"/>
      <c r="I82" s="63"/>
    </row>
    <row r="83" customFormat="false" ht="18.75" hidden="false" customHeight="true" outlineLevel="0" collapsed="false">
      <c r="B83" s="61"/>
      <c r="C83" s="61"/>
      <c r="D83" s="61"/>
      <c r="E83" s="61"/>
      <c r="F83" s="62"/>
      <c r="G83" s="61"/>
      <c r="H83" s="61"/>
      <c r="I83" s="61"/>
    </row>
    <row r="84" customFormat="false" ht="18.75" hidden="false" customHeight="true" outlineLevel="0" collapsed="false">
      <c r="B84" s="63"/>
      <c r="C84" s="63"/>
      <c r="D84" s="63"/>
      <c r="E84" s="63"/>
      <c r="F84" s="64"/>
      <c r="G84" s="63"/>
      <c r="H84" s="63"/>
      <c r="I84" s="63"/>
    </row>
    <row r="85" customFormat="false" ht="18.75" hidden="false" customHeight="true" outlineLevel="0" collapsed="false">
      <c r="B85" s="61"/>
      <c r="C85" s="61"/>
      <c r="D85" s="61"/>
      <c r="E85" s="61"/>
      <c r="F85" s="62"/>
      <c r="G85" s="61"/>
      <c r="H85" s="61"/>
      <c r="I85" s="61"/>
    </row>
    <row r="86" customFormat="false" ht="18.75" hidden="false" customHeight="true" outlineLevel="0" collapsed="false">
      <c r="B86" s="63"/>
      <c r="C86" s="63"/>
      <c r="D86" s="63"/>
      <c r="E86" s="63"/>
      <c r="F86" s="64"/>
      <c r="G86" s="63"/>
      <c r="H86" s="63"/>
      <c r="I86" s="63"/>
    </row>
    <row r="87" customFormat="false" ht="18.75" hidden="false" customHeight="true" outlineLevel="0" collapsed="false">
      <c r="B87" s="61"/>
      <c r="C87" s="61"/>
      <c r="D87" s="61"/>
      <c r="E87" s="61"/>
      <c r="F87" s="62"/>
      <c r="G87" s="61"/>
      <c r="H87" s="61"/>
      <c r="I87" s="61"/>
    </row>
    <row r="88" customFormat="false" ht="18.75" hidden="false" customHeight="true" outlineLevel="0" collapsed="false">
      <c r="B88" s="63"/>
      <c r="C88" s="63"/>
      <c r="D88" s="63"/>
      <c r="E88" s="63"/>
      <c r="F88" s="64"/>
      <c r="G88" s="63"/>
      <c r="H88" s="63"/>
      <c r="I88" s="63"/>
    </row>
    <row r="89" customFormat="false" ht="18.75" hidden="false" customHeight="true" outlineLevel="0" collapsed="false">
      <c r="B89" s="61"/>
      <c r="C89" s="61"/>
      <c r="D89" s="61"/>
      <c r="E89" s="61"/>
      <c r="F89" s="62"/>
      <c r="G89" s="61"/>
      <c r="H89" s="61"/>
      <c r="I89" s="61"/>
    </row>
    <row r="90" customFormat="false" ht="18.75" hidden="false" customHeight="true" outlineLevel="0" collapsed="false">
      <c r="B90" s="63"/>
      <c r="C90" s="63"/>
      <c r="D90" s="63"/>
      <c r="E90" s="63"/>
      <c r="F90" s="64"/>
      <c r="G90" s="63"/>
      <c r="H90" s="63"/>
      <c r="I90" s="63"/>
    </row>
    <row r="91" customFormat="false" ht="18.75" hidden="false" customHeight="true" outlineLevel="0" collapsed="false">
      <c r="B91" s="61"/>
      <c r="C91" s="61"/>
      <c r="D91" s="61"/>
      <c r="E91" s="61"/>
      <c r="F91" s="62"/>
      <c r="G91" s="61"/>
      <c r="H91" s="61"/>
      <c r="I91" s="61"/>
    </row>
    <row r="92" customFormat="false" ht="18.75" hidden="false" customHeight="true" outlineLevel="0" collapsed="false">
      <c r="B92" s="63"/>
      <c r="C92" s="63"/>
      <c r="D92" s="63"/>
      <c r="E92" s="63"/>
      <c r="F92" s="64"/>
      <c r="G92" s="63"/>
      <c r="H92" s="63"/>
      <c r="I92" s="63"/>
    </row>
    <row r="93" customFormat="false" ht="18.75" hidden="false" customHeight="true" outlineLevel="0" collapsed="false">
      <c r="B93" s="61"/>
      <c r="C93" s="61"/>
      <c r="D93" s="61"/>
      <c r="E93" s="61"/>
      <c r="F93" s="62"/>
      <c r="G93" s="61"/>
      <c r="H93" s="61"/>
      <c r="I93" s="61"/>
    </row>
    <row r="94" customFormat="false" ht="18.75" hidden="false" customHeight="true" outlineLevel="0" collapsed="false">
      <c r="B94" s="63"/>
      <c r="C94" s="63"/>
      <c r="D94" s="63"/>
      <c r="E94" s="63"/>
      <c r="F94" s="64"/>
      <c r="G94" s="63"/>
      <c r="H94" s="63"/>
      <c r="I94" s="63"/>
    </row>
    <row r="95" customFormat="false" ht="18.75" hidden="false" customHeight="true" outlineLevel="0" collapsed="false">
      <c r="B95" s="61"/>
      <c r="C95" s="61"/>
      <c r="D95" s="61"/>
      <c r="E95" s="61"/>
      <c r="F95" s="62"/>
      <c r="G95" s="61"/>
      <c r="H95" s="61"/>
      <c r="I95" s="61"/>
    </row>
    <row r="96" customFormat="false" ht="18.75" hidden="false" customHeight="true" outlineLevel="0" collapsed="false">
      <c r="B96" s="63"/>
      <c r="C96" s="63"/>
      <c r="D96" s="63"/>
      <c r="E96" s="63"/>
      <c r="F96" s="64"/>
      <c r="G96" s="63"/>
      <c r="H96" s="63"/>
      <c r="I96" s="63"/>
    </row>
    <row r="97" customFormat="false" ht="18.75" hidden="false" customHeight="true" outlineLevel="0" collapsed="false">
      <c r="B97" s="61"/>
      <c r="C97" s="61"/>
      <c r="D97" s="61"/>
      <c r="E97" s="61"/>
      <c r="F97" s="62"/>
      <c r="G97" s="61"/>
      <c r="H97" s="61"/>
      <c r="I97" s="61"/>
    </row>
    <row r="98" customFormat="false" ht="18.75" hidden="false" customHeight="true" outlineLevel="0" collapsed="false">
      <c r="B98" s="63"/>
      <c r="C98" s="63"/>
      <c r="D98" s="63"/>
      <c r="E98" s="63"/>
      <c r="F98" s="64"/>
      <c r="G98" s="63"/>
      <c r="H98" s="63"/>
      <c r="I98" s="63"/>
    </row>
    <row r="99" customFormat="false" ht="18.75" hidden="false" customHeight="true" outlineLevel="0" collapsed="false">
      <c r="B99" s="61"/>
      <c r="C99" s="61"/>
      <c r="D99" s="61"/>
      <c r="E99" s="61"/>
      <c r="F99" s="62"/>
      <c r="G99" s="61"/>
      <c r="H99" s="61"/>
      <c r="I99" s="61"/>
    </row>
    <row r="100" customFormat="false" ht="18.75" hidden="false" customHeight="true" outlineLevel="0" collapsed="false">
      <c r="B100" s="63"/>
      <c r="C100" s="63"/>
      <c r="D100" s="63"/>
      <c r="E100" s="63"/>
      <c r="F100" s="64"/>
      <c r="G100" s="63"/>
      <c r="H100" s="63"/>
      <c r="I100" s="63"/>
    </row>
    <row r="101" customFormat="false" ht="18.75" hidden="false" customHeight="true" outlineLevel="0" collapsed="false">
      <c r="B101" s="61"/>
      <c r="C101" s="61"/>
      <c r="D101" s="61"/>
      <c r="E101" s="61"/>
      <c r="F101" s="62"/>
      <c r="G101" s="61"/>
      <c r="H101" s="61"/>
      <c r="I101" s="61"/>
    </row>
    <row r="102" customFormat="false" ht="18.75" hidden="false" customHeight="true" outlineLevel="0" collapsed="false">
      <c r="B102" s="63"/>
      <c r="C102" s="63"/>
      <c r="D102" s="63"/>
      <c r="E102" s="63"/>
      <c r="F102" s="64"/>
      <c r="G102" s="63"/>
      <c r="H102" s="63"/>
      <c r="I102" s="63"/>
    </row>
    <row r="103" customFormat="false" ht="18.75" hidden="false" customHeight="true" outlineLevel="0" collapsed="false">
      <c r="B103" s="61"/>
      <c r="C103" s="61"/>
      <c r="D103" s="61"/>
      <c r="E103" s="61"/>
      <c r="F103" s="62"/>
      <c r="G103" s="61"/>
      <c r="H103" s="61"/>
      <c r="I103" s="61"/>
    </row>
    <row r="104" customFormat="false" ht="18.75" hidden="false" customHeight="true" outlineLevel="0" collapsed="false">
      <c r="B104" s="63"/>
      <c r="C104" s="63"/>
      <c r="D104" s="63"/>
      <c r="E104" s="63"/>
      <c r="F104" s="64"/>
      <c r="G104" s="63"/>
      <c r="H104" s="63"/>
      <c r="I104" s="63"/>
    </row>
    <row r="105" customFormat="false" ht="18.75" hidden="false" customHeight="true" outlineLevel="0" collapsed="false">
      <c r="B105" s="61"/>
      <c r="C105" s="61"/>
      <c r="D105" s="61"/>
      <c r="E105" s="61"/>
      <c r="F105" s="62"/>
      <c r="G105" s="61"/>
      <c r="H105" s="61"/>
      <c r="I105" s="61"/>
    </row>
    <row r="106" customFormat="false" ht="18.75" hidden="false" customHeight="true" outlineLevel="0" collapsed="false">
      <c r="B106" s="63"/>
      <c r="C106" s="63"/>
      <c r="D106" s="63"/>
      <c r="E106" s="63"/>
      <c r="F106" s="64"/>
      <c r="G106" s="63"/>
      <c r="H106" s="63"/>
      <c r="I106" s="63"/>
    </row>
    <row r="107" customFormat="false" ht="18.75" hidden="false" customHeight="true" outlineLevel="0" collapsed="false">
      <c r="B107" s="61"/>
      <c r="C107" s="61"/>
      <c r="D107" s="61"/>
      <c r="E107" s="61"/>
      <c r="F107" s="62"/>
      <c r="G107" s="61"/>
      <c r="H107" s="61"/>
      <c r="I107" s="61"/>
    </row>
    <row r="108" customFormat="false" ht="18.75" hidden="false" customHeight="true" outlineLevel="0" collapsed="false">
      <c r="B108" s="65" t="s">
        <v>96</v>
      </c>
      <c r="C108" s="65"/>
      <c r="D108" s="65"/>
      <c r="E108" s="65"/>
      <c r="F108" s="66" t="n">
        <f aca="false">SUM(E8:E107)</f>
        <v>0</v>
      </c>
    </row>
    <row r="109" customFormat="false" ht="18.75" hidden="false" customHeight="true" outlineLevel="0" collapsed="false"/>
    <row r="110" customFormat="false" ht="18.75" hidden="false" customHeight="true" outlineLevel="0" collapsed="false">
      <c r="B110" s="67" t="s">
        <v>97</v>
      </c>
      <c r="C110" s="67"/>
      <c r="D110" s="67"/>
      <c r="E110" s="67"/>
      <c r="F110" s="67"/>
      <c r="G110" s="67"/>
      <c r="H110" s="67"/>
    </row>
    <row r="111" customFormat="false" ht="18.75" hidden="false" customHeight="true" outlineLevel="0" collapsed="false"/>
    <row r="112" customFormat="false" ht="18.75" hidden="false" customHeight="true" outlineLevel="0" collapsed="false"/>
    <row r="113" customFormat="false" ht="18.75" hidden="false" customHeight="true" outlineLevel="0" collapsed="false"/>
    <row r="114" customFormat="false" ht="18.75" hidden="false" customHeight="true" outlineLevel="0" collapsed="false"/>
    <row r="115" customFormat="false" ht="18.75" hidden="false" customHeight="true" outlineLevel="0" collapsed="false"/>
    <row r="116" customFormat="false" ht="18.75" hidden="false" customHeight="true" outlineLevel="0" collapsed="false"/>
    <row r="117" customFormat="false" ht="18.75" hidden="false" customHeight="true" outlineLevel="0" collapsed="false"/>
    <row r="118" customFormat="false" ht="18.75" hidden="false" customHeight="true" outlineLevel="0" collapsed="false"/>
    <row r="119" customFormat="false" ht="18.75" hidden="false" customHeight="true" outlineLevel="0" collapsed="false"/>
  </sheetData>
  <mergeCells count="9">
    <mergeCell ref="B1:H2"/>
    <mergeCell ref="B4:C4"/>
    <mergeCell ref="D4:E4"/>
    <mergeCell ref="F4:G4"/>
    <mergeCell ref="B5:C5"/>
    <mergeCell ref="D5:E5"/>
    <mergeCell ref="F5:G5"/>
    <mergeCell ref="B108:E108"/>
    <mergeCell ref="B110:H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14"/>
    <col collapsed="false" customWidth="true" hidden="false" outlineLevel="0" max="11" min="9" style="0" width="3"/>
  </cols>
  <sheetData>
    <row r="1" customFormat="false" ht="21.75" hidden="false" customHeight="true" outlineLevel="0" collapsed="false">
      <c r="B1" s="48" t="s">
        <v>197</v>
      </c>
      <c r="C1" s="48"/>
      <c r="D1" s="48"/>
      <c r="E1" s="48"/>
      <c r="F1" s="48"/>
      <c r="G1" s="48"/>
      <c r="H1" s="48"/>
    </row>
    <row r="2" customFormat="false" ht="21.75" hidden="false" customHeight="true" outlineLevel="0" collapsed="false">
      <c r="B2" s="48"/>
      <c r="C2" s="48"/>
      <c r="D2" s="48"/>
      <c r="E2" s="48"/>
      <c r="F2" s="48"/>
      <c r="G2" s="48"/>
      <c r="H2" s="48"/>
    </row>
    <row r="3" customFormat="false" ht="21.75" hidden="false" customHeight="true" outlineLevel="0" collapsed="false"/>
    <row r="4" customFormat="false" ht="21.75" hidden="false" customHeight="true" outlineLevel="0" collapsed="false">
      <c r="B4" s="23" t="s">
        <v>198</v>
      </c>
      <c r="C4" s="23"/>
      <c r="D4" s="23"/>
      <c r="E4" s="23"/>
      <c r="F4" s="23"/>
      <c r="G4" s="23"/>
      <c r="H4" s="23"/>
    </row>
    <row r="5" customFormat="false" ht="19.5" hidden="false" customHeight="true" outlineLevel="0" collapsed="false">
      <c r="B5" s="68" t="s">
        <v>199</v>
      </c>
      <c r="C5" s="68" t="s">
        <v>200</v>
      </c>
      <c r="D5" s="68" t="s">
        <v>201</v>
      </c>
      <c r="E5" s="68" t="s">
        <v>202</v>
      </c>
      <c r="F5" s="68" t="s">
        <v>203</v>
      </c>
      <c r="G5" s="68" t="s">
        <v>204</v>
      </c>
      <c r="H5" s="68" t="s">
        <v>205</v>
      </c>
    </row>
    <row r="6" customFormat="false" ht="19.5" hidden="false" customHeight="true" outlineLevel="0" collapsed="false">
      <c r="B6" s="25" t="s">
        <v>206</v>
      </c>
      <c r="C6" s="69" t="n">
        <v>21000</v>
      </c>
      <c r="D6" s="28" t="n">
        <v>5000</v>
      </c>
      <c r="E6" s="28" t="n">
        <f aca="false">C6-D6</f>
        <v>16000</v>
      </c>
      <c r="F6" s="70" t="s">
        <v>207</v>
      </c>
      <c r="G6" s="28" t="n">
        <f aca="false">IFERROR(E6/6,0)</f>
        <v>2666.66666666667</v>
      </c>
      <c r="H6" s="71" t="str">
        <f aca="false">IFERROR(TEXT(D6/C6,"0%")&amp;" ★ "&amp;REPT("█",INT(D6/C6*10))&amp;REPT("░",10-INT(D6/C6*10))," ")</f>
        <v>24% ★ ██░░░░░░░░</v>
      </c>
    </row>
    <row r="7" customFormat="false" ht="19.5" hidden="false" customHeight="true" outlineLevel="0" collapsed="false">
      <c r="B7" s="31" t="s">
        <v>208</v>
      </c>
      <c r="C7" s="72" t="n">
        <v>50000</v>
      </c>
      <c r="D7" s="34" t="n">
        <v>8000</v>
      </c>
      <c r="E7" s="34" t="n">
        <f aca="false">C7-D7</f>
        <v>42000</v>
      </c>
      <c r="F7" s="73" t="s">
        <v>209</v>
      </c>
      <c r="G7" s="34" t="n">
        <f aca="false">IFERROR(E7/18,0)</f>
        <v>2333.33333333333</v>
      </c>
      <c r="H7" s="74" t="str">
        <f aca="false">IFERROR(TEXT(D7/C7,"0%")&amp;" ★ "&amp;REPT("█",INT(D7/C7*10))&amp;REPT("░",10-INT(D7/C7*10))," ")</f>
        <v>16% ★ █░░░░░░░░░</v>
      </c>
    </row>
    <row r="8" customFormat="false" ht="19.5" hidden="false" customHeight="true" outlineLevel="0" collapsed="false">
      <c r="B8" s="25" t="s">
        <v>210</v>
      </c>
      <c r="C8" s="69" t="n">
        <v>25000</v>
      </c>
      <c r="D8" s="28" t="n">
        <v>3000</v>
      </c>
      <c r="E8" s="28" t="n">
        <f aca="false">C8-D8</f>
        <v>22000</v>
      </c>
      <c r="F8" s="70" t="s">
        <v>211</v>
      </c>
      <c r="G8" s="28" t="n">
        <f aca="false">IFERROR(E8/12,0)</f>
        <v>1833.33333333333</v>
      </c>
      <c r="H8" s="71" t="str">
        <f aca="false">IFERROR(TEXT(D8/C8,"0%")&amp;" ★ "&amp;REPT("█",INT(D8/C8*10))&amp;REPT("░",10-INT(D8/C8*10))," ")</f>
        <v>12% ★ █░░░░░░░░░</v>
      </c>
    </row>
    <row r="9" customFormat="false" ht="19.5" hidden="false" customHeight="true" outlineLevel="0" collapsed="false">
      <c r="B9" s="31" t="s">
        <v>212</v>
      </c>
      <c r="C9" s="72" t="n">
        <v>5000</v>
      </c>
      <c r="D9" s="34" t="n">
        <v>1500</v>
      </c>
      <c r="E9" s="34" t="n">
        <f aca="false">C9-D9</f>
        <v>3500</v>
      </c>
      <c r="F9" s="73" t="s">
        <v>213</v>
      </c>
      <c r="G9" s="34" t="n">
        <f aca="false">IFERROR(E9/3,0)</f>
        <v>1166.66666666667</v>
      </c>
      <c r="H9" s="74" t="str">
        <f aca="false">IFERROR(TEXT(D9/C9,"0%")&amp;" ★ "&amp;REPT("█",INT(D9/C9*10))&amp;REPT("░",10-INT(D9/C9*10))," ")</f>
        <v>30% ★ ███░░░░░░░</v>
      </c>
    </row>
    <row r="10" customFormat="false" ht="19.5" hidden="false" customHeight="true" outlineLevel="0" collapsed="false">
      <c r="B10" s="25" t="s">
        <v>214</v>
      </c>
      <c r="C10" s="69" t="n">
        <v>8000</v>
      </c>
      <c r="D10" s="28" t="n">
        <v>2000</v>
      </c>
      <c r="E10" s="28" t="n">
        <f aca="false">C10-D10</f>
        <v>6000</v>
      </c>
      <c r="F10" s="70" t="s">
        <v>207</v>
      </c>
      <c r="G10" s="28" t="n">
        <f aca="false">IFERROR(E10/6,0)</f>
        <v>1000</v>
      </c>
      <c r="H10" s="71" t="str">
        <f aca="false">IFERROR(TEXT(D10/C10,"0%")&amp;" ★ "&amp;REPT("█",INT(D10/C10*10))&amp;REPT("░",10-INT(D10/C10*10))," ")</f>
        <v>25% ★ ██░░░░░░░░</v>
      </c>
    </row>
    <row r="11" customFormat="false" ht="19.5" hidden="false" customHeight="true" outlineLevel="0" collapsed="false">
      <c r="B11" s="31" t="s">
        <v>215</v>
      </c>
      <c r="C11" s="72" t="n">
        <v>100000</v>
      </c>
      <c r="D11" s="34" t="n">
        <v>15000</v>
      </c>
      <c r="E11" s="34" t="n">
        <f aca="false">C11-D11</f>
        <v>85000</v>
      </c>
      <c r="F11" s="73" t="s">
        <v>216</v>
      </c>
      <c r="G11" s="34" t="n">
        <f aca="false">IFERROR(E11/24,0)</f>
        <v>3541.66666666667</v>
      </c>
      <c r="H11" s="74" t="str">
        <f aca="false">IFERROR(TEXT(D11/C11,"0%")&amp;" ★ "&amp;REPT("█",INT(D11/C11*10))&amp;REPT("░",10-INT(D11/C11*10))," ")</f>
        <v>15% ★ █░░░░░░░░░</v>
      </c>
    </row>
    <row r="12" customFormat="false" ht="19.5" hidden="false" customHeight="true" outlineLevel="0" collapsed="false">
      <c r="B12" s="25" t="s">
        <v>217</v>
      </c>
      <c r="C12" s="69" t="n">
        <v>3000</v>
      </c>
      <c r="D12" s="28" t="n">
        <v>500</v>
      </c>
      <c r="E12" s="28" t="n">
        <f aca="false">C12-D12</f>
        <v>2500</v>
      </c>
      <c r="F12" s="70" t="s">
        <v>218</v>
      </c>
      <c r="G12" s="28" t="n">
        <f aca="false">IFERROR(E12/2,0)</f>
        <v>1250</v>
      </c>
      <c r="H12" s="71" t="str">
        <f aca="false">IFERROR(TEXT(D12/C12,"0%")&amp;" ★ "&amp;REPT("█",INT(D12/C12*10))&amp;REPT("░",10-INT(D12/C12*10))," ")</f>
        <v>17% ★ █░░░░░░░░░</v>
      </c>
    </row>
    <row r="13" customFormat="false" ht="19.5" hidden="false" customHeight="true" outlineLevel="0" collapsed="false">
      <c r="B13" s="31" t="s">
        <v>219</v>
      </c>
      <c r="C13" s="72" t="n">
        <v>15000</v>
      </c>
      <c r="D13" s="34" t="n">
        <v>2000</v>
      </c>
      <c r="E13" s="34" t="n">
        <f aca="false">C13-D13</f>
        <v>13000</v>
      </c>
      <c r="F13" s="73" t="s">
        <v>220</v>
      </c>
      <c r="G13" s="34" t="n">
        <f aca="false">IFERROR(E13/8,0)</f>
        <v>1625</v>
      </c>
      <c r="H13" s="74" t="str">
        <f aca="false">IFERROR(TEXT(D13/C13,"0%")&amp;" ★ "&amp;REPT("█",INT(D13/C13*10))&amp;REPT("░",10-INT(D13/C13*10))," ")</f>
        <v>13% ★ █░░░░░░░░░</v>
      </c>
    </row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>
      <c r="B16" s="23" t="s">
        <v>221</v>
      </c>
      <c r="C16" s="23"/>
      <c r="D16" s="23"/>
      <c r="E16" s="23"/>
      <c r="F16" s="23"/>
      <c r="G16" s="23"/>
      <c r="H16" s="23"/>
    </row>
    <row r="17" customFormat="false" ht="19.5" hidden="false" customHeight="true" outlineLevel="0" collapsed="false">
      <c r="B17" s="68" t="s">
        <v>222</v>
      </c>
      <c r="C17" s="68" t="s">
        <v>223</v>
      </c>
      <c r="D17" s="68" t="s">
        <v>224</v>
      </c>
      <c r="E17" s="68" t="s">
        <v>225</v>
      </c>
      <c r="F17" s="68" t="s">
        <v>226</v>
      </c>
      <c r="G17" s="68" t="s">
        <v>227</v>
      </c>
      <c r="H17" s="68" t="s">
        <v>228</v>
      </c>
    </row>
    <row r="18" customFormat="false" ht="19.5" hidden="false" customHeight="true" outlineLevel="0" collapsed="false">
      <c r="B18" s="25" t="s">
        <v>229</v>
      </c>
      <c r="C18" s="27" t="n">
        <v>2500</v>
      </c>
      <c r="D18" s="27" t="n">
        <v>2500</v>
      </c>
      <c r="E18" s="27" t="n">
        <v>416</v>
      </c>
      <c r="F18" s="75" t="n">
        <v>6</v>
      </c>
      <c r="G18" s="70" t="s">
        <v>213</v>
      </c>
      <c r="H18" s="76" t="n">
        <v>0.125</v>
      </c>
    </row>
    <row r="19" customFormat="false" ht="19.5" hidden="false" customHeight="true" outlineLevel="0" collapsed="false">
      <c r="B19" s="31" t="s">
        <v>230</v>
      </c>
      <c r="C19" s="33" t="n">
        <v>8000</v>
      </c>
      <c r="D19" s="33" t="n">
        <v>6000</v>
      </c>
      <c r="E19" s="33" t="n">
        <v>500</v>
      </c>
      <c r="F19" s="77" t="n">
        <v>12</v>
      </c>
      <c r="G19" s="73" t="s">
        <v>231</v>
      </c>
      <c r="H19" s="78" t="n">
        <v>0.035</v>
      </c>
    </row>
    <row r="20" customFormat="false" ht="19.5" hidden="false" customHeight="true" outlineLevel="0" collapsed="false">
      <c r="B20" s="25" t="s">
        <v>232</v>
      </c>
      <c r="C20" s="27" t="n">
        <v>1800</v>
      </c>
      <c r="D20" s="27" t="n">
        <v>900</v>
      </c>
      <c r="E20" s="27" t="n">
        <v>150</v>
      </c>
      <c r="F20" s="75" t="n">
        <v>6</v>
      </c>
      <c r="G20" s="70" t="s">
        <v>233</v>
      </c>
      <c r="H20" s="76" t="n">
        <v>0</v>
      </c>
    </row>
    <row r="21" customFormat="false" ht="19.5" hidden="false" customHeight="true" outlineLevel="0" collapsed="false">
      <c r="B21" s="79" t="s">
        <v>234</v>
      </c>
      <c r="C21" s="79"/>
      <c r="D21" s="80" t="n">
        <f aca="false">SUM(D18:D20)</f>
        <v>9400</v>
      </c>
    </row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</sheetData>
  <mergeCells count="4">
    <mergeCell ref="B1:H2"/>
    <mergeCell ref="B4:H4"/>
    <mergeCell ref="B16:H16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14" min="3" style="0" width="11"/>
    <col collapsed="false" customWidth="true" hidden="false" outlineLevel="0" max="15" min="15" style="0" width="3"/>
  </cols>
  <sheetData>
    <row r="1" customFormat="false" ht="21.75" hidden="false" customHeight="true" outlineLevel="0" collapsed="false">
      <c r="B1" s="48" t="s">
        <v>235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customFormat="false" ht="21.75" hidden="false" customHeight="true" outlineLevel="0" collapsed="false"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customFormat="false" ht="21.75" hidden="false" customHeight="true" outlineLevel="0" collapsed="false"/>
    <row r="4" customFormat="false" ht="21.75" hidden="false" customHeight="true" outlineLevel="0" collapsed="false">
      <c r="B4" s="68"/>
      <c r="C4" s="68" t="s">
        <v>4</v>
      </c>
      <c r="D4" s="68" t="s">
        <v>236</v>
      </c>
      <c r="E4" s="68" t="s">
        <v>237</v>
      </c>
      <c r="F4" s="68" t="s">
        <v>238</v>
      </c>
      <c r="G4" s="68" t="s">
        <v>239</v>
      </c>
      <c r="H4" s="68" t="s">
        <v>240</v>
      </c>
      <c r="I4" s="68" t="s">
        <v>241</v>
      </c>
      <c r="J4" s="68" t="s">
        <v>242</v>
      </c>
      <c r="K4" s="68" t="s">
        <v>243</v>
      </c>
      <c r="L4" s="68" t="s">
        <v>244</v>
      </c>
      <c r="M4" s="68" t="s">
        <v>245</v>
      </c>
      <c r="N4" s="68" t="s">
        <v>246</v>
      </c>
      <c r="O4" s="68" t="s">
        <v>42</v>
      </c>
    </row>
    <row r="5" customFormat="false" ht="19.5" hidden="false" customHeight="true" outlineLevel="0" collapsed="false">
      <c r="B5" s="81" t="s">
        <v>247</v>
      </c>
      <c r="C5" s="27" t="n">
        <v>3500</v>
      </c>
      <c r="D5" s="27" t="n">
        <v>3500</v>
      </c>
      <c r="E5" s="27" t="n">
        <v>3500</v>
      </c>
      <c r="F5" s="27" t="n">
        <v>3500</v>
      </c>
      <c r="G5" s="27" t="n">
        <v>3500</v>
      </c>
      <c r="H5" s="27" t="n">
        <v>3500</v>
      </c>
      <c r="I5" s="27" t="n">
        <v>3500</v>
      </c>
      <c r="J5" s="27" t="n">
        <v>3500</v>
      </c>
      <c r="K5" s="27" t="n">
        <v>3500</v>
      </c>
      <c r="L5" s="27" t="n">
        <v>3500</v>
      </c>
      <c r="M5" s="27" t="n">
        <v>3500</v>
      </c>
      <c r="N5" s="27" t="n">
        <v>3500</v>
      </c>
      <c r="O5" s="82" t="n">
        <f aca="false">SUM(C5:N5)</f>
        <v>42000</v>
      </c>
    </row>
    <row r="6" customFormat="false" ht="19.5" hidden="false" customHeight="true" outlineLevel="0" collapsed="false"/>
    <row r="7" customFormat="false" ht="19.5" hidden="false" customHeight="true" outlineLevel="0" collapsed="false">
      <c r="B7" s="83" t="s">
        <v>248</v>
      </c>
      <c r="C7" s="33" t="n">
        <v>2800</v>
      </c>
      <c r="D7" s="33" t="n">
        <v>2800</v>
      </c>
      <c r="E7" s="33" t="n">
        <v>2800</v>
      </c>
      <c r="F7" s="33" t="n">
        <v>2800</v>
      </c>
      <c r="G7" s="33" t="n">
        <v>2800</v>
      </c>
      <c r="H7" s="33" t="n">
        <v>2800</v>
      </c>
      <c r="I7" s="33" t="n">
        <v>2800</v>
      </c>
      <c r="J7" s="33" t="n">
        <v>2800</v>
      </c>
      <c r="K7" s="33" t="n">
        <v>2800</v>
      </c>
      <c r="L7" s="33" t="n">
        <v>2800</v>
      </c>
      <c r="M7" s="33" t="n">
        <v>2800</v>
      </c>
      <c r="N7" s="33" t="n">
        <v>2800</v>
      </c>
      <c r="O7" s="84" t="n">
        <f aca="false">SUM(C7:N7)</f>
        <v>33600</v>
      </c>
    </row>
    <row r="8" customFormat="false" ht="19.5" hidden="false" customHeight="true" outlineLevel="0" collapsed="false"/>
    <row r="9" customFormat="false" ht="19.5" hidden="false" customHeight="true" outlineLevel="0" collapsed="false">
      <c r="B9" s="85" t="s">
        <v>249</v>
      </c>
      <c r="C9" s="27" t="n">
        <v>700</v>
      </c>
      <c r="D9" s="27" t="n">
        <v>700</v>
      </c>
      <c r="E9" s="27" t="n">
        <v>700</v>
      </c>
      <c r="F9" s="27" t="n">
        <v>700</v>
      </c>
      <c r="G9" s="27" t="n">
        <v>700</v>
      </c>
      <c r="H9" s="27" t="n">
        <v>700</v>
      </c>
      <c r="I9" s="27" t="n">
        <v>700</v>
      </c>
      <c r="J9" s="27" t="n">
        <v>700</v>
      </c>
      <c r="K9" s="27" t="n">
        <v>700</v>
      </c>
      <c r="L9" s="27" t="n">
        <v>700</v>
      </c>
      <c r="M9" s="27" t="n">
        <v>700</v>
      </c>
      <c r="N9" s="27" t="n">
        <v>700</v>
      </c>
      <c r="O9" s="86" t="n">
        <f aca="false">SUM(C9:N9)</f>
        <v>8400</v>
      </c>
    </row>
    <row r="10" customFormat="false" ht="19.5" hidden="false" customHeight="true" outlineLevel="0" collapsed="false"/>
    <row r="11" customFormat="false" ht="19.5" hidden="false" customHeight="true" outlineLevel="0" collapsed="false">
      <c r="B11" s="87" t="s">
        <v>250</v>
      </c>
      <c r="C11" s="33" t="n">
        <v>500</v>
      </c>
      <c r="D11" s="33" t="n">
        <v>500</v>
      </c>
      <c r="E11" s="33" t="n">
        <v>500</v>
      </c>
      <c r="F11" s="33" t="n">
        <v>500</v>
      </c>
      <c r="G11" s="33" t="n">
        <v>500</v>
      </c>
      <c r="H11" s="33" t="n">
        <v>500</v>
      </c>
      <c r="I11" s="33" t="n">
        <v>500</v>
      </c>
      <c r="J11" s="33" t="n">
        <v>500</v>
      </c>
      <c r="K11" s="33" t="n">
        <v>500</v>
      </c>
      <c r="L11" s="33" t="n">
        <v>500</v>
      </c>
      <c r="M11" s="33" t="n">
        <v>500</v>
      </c>
      <c r="N11" s="33" t="n">
        <v>500</v>
      </c>
      <c r="O11" s="88" t="n">
        <f aca="false">SUM(C11:N11)</f>
        <v>6000</v>
      </c>
    </row>
    <row r="12" customFormat="false" ht="19.5" hidden="false" customHeight="true" outlineLevel="0" collapsed="false"/>
    <row r="13" customFormat="false" ht="19.5" hidden="false" customHeight="true" outlineLevel="0" collapsed="false">
      <c r="B13" s="89" t="s">
        <v>251</v>
      </c>
      <c r="C13" s="27" t="n">
        <v>500</v>
      </c>
      <c r="D13" s="27" t="n">
        <v>500</v>
      </c>
      <c r="E13" s="27" t="n">
        <v>500</v>
      </c>
      <c r="F13" s="27" t="n">
        <v>500</v>
      </c>
      <c r="G13" s="27" t="n">
        <v>500</v>
      </c>
      <c r="H13" s="27" t="n">
        <v>500</v>
      </c>
      <c r="I13" s="27" t="n">
        <v>500</v>
      </c>
      <c r="J13" s="27" t="n">
        <v>500</v>
      </c>
      <c r="K13" s="27" t="n">
        <v>500</v>
      </c>
      <c r="L13" s="27" t="n">
        <v>500</v>
      </c>
      <c r="M13" s="27" t="n">
        <v>500</v>
      </c>
      <c r="N13" s="27" t="n">
        <v>500</v>
      </c>
      <c r="O13" s="90" t="n">
        <f aca="false">SUM(C13:N13)</f>
        <v>6000</v>
      </c>
    </row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>
      <c r="B20" s="91" t="s">
        <v>252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</row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</sheetData>
  <mergeCells count="2">
    <mergeCell ref="B1:N2"/>
    <mergeCell ref="B20:N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35"/>
    <col collapsed="false" customWidth="true" hidden="false" outlineLevel="0" max="5" min="5" style="0" width="14"/>
  </cols>
  <sheetData>
    <row r="1" customFormat="false" ht="21.75" hidden="false" customHeight="true" outlineLevel="0" collapsed="false">
      <c r="B1" s="48" t="s">
        <v>253</v>
      </c>
      <c r="C1" s="48"/>
      <c r="D1" s="48"/>
      <c r="E1" s="48"/>
    </row>
    <row r="2" customFormat="false" ht="21.75" hidden="false" customHeight="true" outlineLevel="0" collapsed="false">
      <c r="B2" s="48"/>
      <c r="C2" s="48"/>
      <c r="D2" s="48"/>
      <c r="E2" s="48"/>
    </row>
    <row r="3" customFormat="false" ht="21.75" hidden="false" customHeight="true" outlineLevel="0" collapsed="false"/>
    <row r="4" customFormat="false" ht="21.75" hidden="false" customHeight="true" outlineLevel="0" collapsed="false">
      <c r="B4" s="92" t="s">
        <v>19</v>
      </c>
      <c r="C4" s="92" t="s">
        <v>20</v>
      </c>
      <c r="D4" s="92" t="s">
        <v>254</v>
      </c>
      <c r="E4" s="92" t="s">
        <v>255</v>
      </c>
    </row>
    <row r="5" customFormat="false" ht="15" hidden="false" customHeight="false" outlineLevel="0" collapsed="false">
      <c r="B5" s="93" t="s">
        <v>26</v>
      </c>
      <c r="C5" s="94" t="s">
        <v>27</v>
      </c>
      <c r="D5" s="95" t="s">
        <v>256</v>
      </c>
      <c r="E5" s="96" t="s">
        <v>257</v>
      </c>
    </row>
    <row r="6" customFormat="false" ht="15" hidden="false" customHeight="false" outlineLevel="0" collapsed="false">
      <c r="B6" s="97" t="s">
        <v>28</v>
      </c>
      <c r="C6" s="98" t="s">
        <v>27</v>
      </c>
      <c r="D6" s="99" t="s">
        <v>258</v>
      </c>
      <c r="E6" s="100" t="s">
        <v>259</v>
      </c>
    </row>
    <row r="7" customFormat="false" ht="15" hidden="false" customHeight="false" outlineLevel="0" collapsed="false">
      <c r="B7" s="93" t="s">
        <v>29</v>
      </c>
      <c r="C7" s="94" t="s">
        <v>27</v>
      </c>
      <c r="D7" s="95" t="s">
        <v>260</v>
      </c>
      <c r="E7" s="96" t="s">
        <v>259</v>
      </c>
    </row>
    <row r="8" customFormat="false" ht="15" hidden="false" customHeight="false" outlineLevel="0" collapsed="false">
      <c r="B8" s="97" t="s">
        <v>30</v>
      </c>
      <c r="C8" s="101" t="s">
        <v>31</v>
      </c>
      <c r="D8" s="99" t="s">
        <v>261</v>
      </c>
      <c r="E8" s="100" t="s">
        <v>262</v>
      </c>
    </row>
    <row r="9" customFormat="false" ht="15" hidden="false" customHeight="false" outlineLevel="0" collapsed="false">
      <c r="B9" s="93" t="s">
        <v>32</v>
      </c>
      <c r="C9" s="94" t="s">
        <v>27</v>
      </c>
      <c r="D9" s="95" t="s">
        <v>263</v>
      </c>
      <c r="E9" s="96" t="s">
        <v>259</v>
      </c>
    </row>
    <row r="10" customFormat="false" ht="15" hidden="false" customHeight="false" outlineLevel="0" collapsed="false">
      <c r="B10" s="97" t="s">
        <v>33</v>
      </c>
      <c r="C10" s="101" t="s">
        <v>31</v>
      </c>
      <c r="D10" s="99" t="s">
        <v>264</v>
      </c>
      <c r="E10" s="100" t="s">
        <v>265</v>
      </c>
    </row>
    <row r="11" customFormat="false" ht="15" hidden="false" customHeight="false" outlineLevel="0" collapsed="false">
      <c r="B11" s="93" t="s">
        <v>34</v>
      </c>
      <c r="C11" s="102" t="s">
        <v>35</v>
      </c>
      <c r="D11" s="95" t="s">
        <v>266</v>
      </c>
      <c r="E11" s="96" t="s">
        <v>265</v>
      </c>
    </row>
    <row r="12" customFormat="false" ht="15" hidden="false" customHeight="false" outlineLevel="0" collapsed="false">
      <c r="B12" s="97" t="s">
        <v>36</v>
      </c>
      <c r="C12" s="103" t="s">
        <v>35</v>
      </c>
      <c r="D12" s="99" t="s">
        <v>267</v>
      </c>
      <c r="E12" s="100" t="s">
        <v>265</v>
      </c>
    </row>
    <row r="13" customFormat="false" ht="15" hidden="false" customHeight="false" outlineLevel="0" collapsed="false">
      <c r="B13" s="93" t="s">
        <v>37</v>
      </c>
      <c r="C13" s="94" t="s">
        <v>27</v>
      </c>
      <c r="D13" s="95" t="s">
        <v>268</v>
      </c>
      <c r="E13" s="102" t="s">
        <v>269</v>
      </c>
    </row>
    <row r="14" customFormat="false" ht="15" hidden="false" customHeight="false" outlineLevel="0" collapsed="false">
      <c r="B14" s="97" t="s">
        <v>38</v>
      </c>
      <c r="C14" s="100" t="s">
        <v>39</v>
      </c>
      <c r="D14" s="99" t="s">
        <v>270</v>
      </c>
      <c r="E14" s="100" t="s">
        <v>259</v>
      </c>
    </row>
    <row r="15" customFormat="false" ht="15" hidden="false" customHeight="false" outlineLevel="0" collapsed="false">
      <c r="B15" s="93" t="s">
        <v>40</v>
      </c>
      <c r="C15" s="94" t="s">
        <v>27</v>
      </c>
      <c r="D15" s="95" t="s">
        <v>271</v>
      </c>
      <c r="E15" s="96" t="s">
        <v>265</v>
      </c>
    </row>
    <row r="16" customFormat="false" ht="15" hidden="false" customHeight="false" outlineLevel="0" collapsed="false">
      <c r="B16" s="97" t="s">
        <v>41</v>
      </c>
      <c r="C16" s="101" t="s">
        <v>31</v>
      </c>
      <c r="D16" s="99" t="s">
        <v>272</v>
      </c>
      <c r="E16" s="100" t="s">
        <v>265</v>
      </c>
    </row>
    <row r="20" customFormat="false" ht="15" hidden="false" customHeight="false" outlineLevel="0" collapsed="false">
      <c r="B20" s="104" t="s">
        <v>273</v>
      </c>
      <c r="C20" s="104"/>
      <c r="D20" s="104"/>
      <c r="E20" s="104"/>
    </row>
    <row r="21" customFormat="false" ht="15" hidden="false" customHeight="false" outlineLevel="0" collapsed="false">
      <c r="B21" s="105" t="s">
        <v>274</v>
      </c>
      <c r="C21" s="105"/>
      <c r="D21" s="105"/>
      <c r="E21" s="105"/>
    </row>
    <row r="22" customFormat="false" ht="15" hidden="false" customHeight="false" outlineLevel="0" collapsed="false">
      <c r="B22" s="106" t="s">
        <v>275</v>
      </c>
      <c r="C22" s="106"/>
      <c r="D22" s="106"/>
      <c r="E22" s="106"/>
    </row>
    <row r="23" customFormat="false" ht="15" hidden="false" customHeight="false" outlineLevel="0" collapsed="false">
      <c r="B23" s="105" t="s">
        <v>276</v>
      </c>
      <c r="C23" s="105"/>
      <c r="D23" s="105"/>
      <c r="E23" s="105"/>
    </row>
    <row r="24" customFormat="false" ht="15" hidden="false" customHeight="false" outlineLevel="0" collapsed="false">
      <c r="B24" s="106" t="s">
        <v>277</v>
      </c>
      <c r="C24" s="106"/>
      <c r="D24" s="106"/>
      <c r="E24" s="106"/>
    </row>
    <row r="25" customFormat="false" ht="15" hidden="false" customHeight="false" outlineLevel="0" collapsed="false">
      <c r="B25" s="105" t="s">
        <v>278</v>
      </c>
      <c r="C25" s="105"/>
      <c r="D25" s="105"/>
      <c r="E25" s="105"/>
    </row>
    <row r="26" customFormat="false" ht="15" hidden="false" customHeight="false" outlineLevel="0" collapsed="false">
      <c r="B26" s="106" t="s">
        <v>279</v>
      </c>
      <c r="C26" s="106"/>
      <c r="D26" s="106"/>
      <c r="E26" s="106"/>
    </row>
    <row r="27" customFormat="false" ht="15" hidden="false" customHeight="false" outlineLevel="0" collapsed="false">
      <c r="B27" s="105" t="s">
        <v>280</v>
      </c>
      <c r="C27" s="105"/>
      <c r="D27" s="105"/>
      <c r="E27" s="105"/>
    </row>
    <row r="28" customFormat="false" ht="15" hidden="false" customHeight="false" outlineLevel="0" collapsed="false">
      <c r="B28" s="106" t="s">
        <v>281</v>
      </c>
      <c r="C28" s="106"/>
      <c r="D28" s="106"/>
      <c r="E28" s="106"/>
    </row>
    <row r="29" customFormat="false" ht="15" hidden="false" customHeight="false" outlineLevel="0" collapsed="false">
      <c r="B29" s="105" t="s">
        <v>282</v>
      </c>
      <c r="C29" s="105"/>
      <c r="D29" s="105"/>
      <c r="E29" s="105"/>
    </row>
    <row r="30" customFormat="false" ht="15" hidden="false" customHeight="false" outlineLevel="0" collapsed="false">
      <c r="B30" s="106" t="s">
        <v>283</v>
      </c>
      <c r="C30" s="106"/>
      <c r="D30" s="106"/>
      <c r="E30" s="106"/>
    </row>
  </sheetData>
  <mergeCells count="12">
    <mergeCell ref="B1:E2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2026-03-08T23:52:37Z</dcterms:created>
  <dc:creator>openpyxl</dc:creator>
  <dc:description/>
  <dc:language>en-US</dc:language>
  <cp:lastModifiedBy/>
  <dcterms:modified xsi:type="dcterms:W3CDTF">2026-03-08T23:52:38Z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